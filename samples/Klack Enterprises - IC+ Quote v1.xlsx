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ryanbrough/GratifyProduct/labs/Gratify Labs/"/>
    </mc:Choice>
  </mc:AlternateContent>
  <xr:revisionPtr revIDLastSave="0" documentId="8_{EE72AD10-7BD2-2940-AF78-E3F31B1AE10D}" xr6:coauthVersionLast="47" xr6:coauthVersionMax="47" xr10:uidLastSave="{00000000-0000-0000-0000-000000000000}"/>
  <bookViews>
    <workbookView xWindow="0" yWindow="760" windowWidth="25100" windowHeight="16860" tabRatio="500" xr2:uid="{00000000-000D-0000-FFFF-FFFF00000000}"/>
  </bookViews>
  <sheets>
    <sheet name="Analysis" sheetId="1" r:id="rId1"/>
    <sheet name="Multi" sheetId="2" state="hidden"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46" i="2" l="1"/>
  <c r="Q46" i="2" s="1"/>
  <c r="O45" i="2"/>
  <c r="Q45" i="2" s="1"/>
  <c r="M43" i="2"/>
  <c r="L43" i="2"/>
  <c r="K43" i="2"/>
  <c r="J43" i="2"/>
  <c r="I43" i="2"/>
  <c r="H43" i="2"/>
  <c r="G43" i="2"/>
  <c r="F43" i="2"/>
  <c r="E43" i="2"/>
  <c r="D43" i="2"/>
  <c r="Q41" i="2"/>
  <c r="M41" i="2"/>
  <c r="M47" i="2" s="1"/>
  <c r="M23" i="2" s="1"/>
  <c r="L41" i="2"/>
  <c r="L47" i="2" s="1"/>
  <c r="L23" i="2" s="1"/>
  <c r="K41" i="2"/>
  <c r="K47" i="2" s="1"/>
  <c r="K23" i="2" s="1"/>
  <c r="J41" i="2"/>
  <c r="J47" i="2" s="1"/>
  <c r="J23" i="2" s="1"/>
  <c r="I41" i="2"/>
  <c r="I47" i="2" s="1"/>
  <c r="I23" i="2" s="1"/>
  <c r="H41" i="2"/>
  <c r="H47" i="2" s="1"/>
  <c r="H23" i="2" s="1"/>
  <c r="G41" i="2"/>
  <c r="G47" i="2" s="1"/>
  <c r="G23" i="2" s="1"/>
  <c r="F41" i="2"/>
  <c r="F47" i="2" s="1"/>
  <c r="F23" i="2" s="1"/>
  <c r="E41" i="2"/>
  <c r="E47" i="2" s="1"/>
  <c r="E23" i="2" s="1"/>
  <c r="D41" i="2"/>
  <c r="D47" i="2" s="1"/>
  <c r="O40" i="2"/>
  <c r="O39" i="2"/>
  <c r="O38" i="2"/>
  <c r="O37" i="2"/>
  <c r="O36" i="2"/>
  <c r="O35" i="2"/>
  <c r="O34" i="2"/>
  <c r="O41" i="2" s="1"/>
  <c r="O32" i="2"/>
  <c r="Q32" i="2" s="1"/>
  <c r="O31" i="2"/>
  <c r="O30" i="2"/>
  <c r="Q22" i="2"/>
  <c r="O22" i="2"/>
  <c r="M22" i="2"/>
  <c r="L22" i="2"/>
  <c r="K22" i="2"/>
  <c r="J22" i="2"/>
  <c r="I22" i="2"/>
  <c r="H22" i="2"/>
  <c r="G22" i="2"/>
  <c r="F22" i="2"/>
  <c r="E22" i="2"/>
  <c r="D22" i="2"/>
  <c r="F51" i="1"/>
  <c r="F50" i="1"/>
  <c r="F49" i="1"/>
  <c r="F44" i="1"/>
  <c r="D38" i="1"/>
  <c r="D44" i="1" s="1"/>
  <c r="D52" i="1" s="1"/>
  <c r="F35" i="1"/>
  <c r="F32" i="1"/>
  <c r="D25" i="1"/>
  <c r="F52" i="1" l="1"/>
  <c r="F18" i="1" s="1"/>
  <c r="O47" i="2"/>
  <c r="D23" i="2"/>
  <c r="F26" i="1"/>
  <c r="Q47" i="2"/>
  <c r="Q23" i="2" s="1"/>
  <c r="Q43" i="2"/>
  <c r="F19" i="1"/>
  <c r="F20" i="1" s="1"/>
  <c r="F21" i="1" s="1"/>
  <c r="D26" i="1"/>
  <c r="O43" i="2"/>
  <c r="O23" i="2" l="1"/>
  <c r="Q17" i="2"/>
  <c r="Q18" i="2" l="1"/>
  <c r="Q16" i="2"/>
</calcChain>
</file>

<file path=xl/sharedStrings.xml><?xml version="1.0" encoding="utf-8"?>
<sst xmlns="http://schemas.openxmlformats.org/spreadsheetml/2006/main" count="90" uniqueCount="62">
  <si>
    <t>Comparison For:</t>
  </si>
  <si>
    <t>Klack Enterprises, LLC</t>
  </si>
  <si>
    <t>Prepared By:</t>
  </si>
  <si>
    <t>Sales Rep name</t>
  </si>
  <si>
    <t>Contact Email:</t>
  </si>
  <si>
    <t>Sales Rep email</t>
  </si>
  <si>
    <t>Date:</t>
  </si>
  <si>
    <t>Estimated Savings</t>
  </si>
  <si>
    <t>Interchange Plus</t>
  </si>
  <si>
    <t>% Savings (per month)</t>
  </si>
  <si>
    <t>Monthly Savings</t>
  </si>
  <si>
    <t>Annual Savings</t>
  </si>
  <si>
    <t>3 Yr Savings</t>
  </si>
  <si>
    <t>Rate Comparison</t>
  </si>
  <si>
    <t>Rate</t>
  </si>
  <si>
    <t>Proposed</t>
  </si>
  <si>
    <t>Effective Processing Rate</t>
  </si>
  <si>
    <t>Statement Analysis</t>
  </si>
  <si>
    <t>Item</t>
  </si>
  <si>
    <t>Interchange</t>
  </si>
  <si>
    <t>Discount Rate</t>
  </si>
  <si>
    <t>Per Transaction</t>
  </si>
  <si>
    <t xml:space="preserve">Card Brand Fees </t>
  </si>
  <si>
    <t>Monthly &amp; Other Fees</t>
  </si>
  <si>
    <t>Settlement Funding Fee</t>
  </si>
  <si>
    <t>PCI/Breach Coverage</t>
  </si>
  <si>
    <t>Paper Statement Fee</t>
  </si>
  <si>
    <t>FANF</t>
  </si>
  <si>
    <t>Batch/Network Fees</t>
  </si>
  <si>
    <t>Total Monthly &amp; Other Fees</t>
  </si>
  <si>
    <t>One Time Fees</t>
  </si>
  <si>
    <t>Annual Fees</t>
  </si>
  <si>
    <t>Average Ticket Size</t>
  </si>
  <si>
    <t>Volume</t>
  </si>
  <si>
    <t>Transaction Count</t>
  </si>
  <si>
    <t>Total Fees</t>
  </si>
  <si>
    <t xml:space="preserve">Processing Notes: </t>
  </si>
  <si>
    <t>Merchant: Klack Enterprises, LLC - New Castle, DE
MID: 3930-0983-7125-96
Processor: TSYS (Global Payments) via Merchant Processing Center ISO (Lindon, UT)
Statement Period: March 2026
Pricing: IC+ at 1.50% discount + 0.15% settlement funding + $0.10/txn
Current combined processor markup: 1.65% (1.50% + 0.15% settlement funding)
Proposed: 0.25% + $0.10/txn, no settlement funding fee
69% of volume is debit/prepaid. Zero returns, zero chargebacks.</t>
  </si>
  <si>
    <t>Analysis Notes:</t>
  </si>
  <si>
    <t>Key Findings:
1. Combined 1.65% markup is 5-10x competitive market rate for this volume.
2. 69% regulated debit - processor markup exceeds IC cost by 2.4x.
3. Zero returns, zero chargebacks - clean, low-risk merchant.
4. Monthly fee bloat ~$30 (breach, paper statement, FANF, misc).
Card Mix: Visa 74.1% | MC 20.2% | Amex 2.7% | Discover 3.0%
Effective rate drops from 3.18% to ~1.79% - 44% cost reduction.</t>
  </si>
  <si>
    <t>Rate analysis completed using the processing statements for 2026.  
(1) These were your effective base processing rates for the analyzed statements. They're the weighted averages of the different rates and fees you were charged for different cards. With Shopworks Pay, you will pay the same base processing rate for all Card Brands. 
(2) This additional .% of savings comes from you qualifying for Level II/Level III data processing with Shopworks Pay. This amount will vary each month with your volume and the type of cards you take. The savings comes mostly from Business, Purchasing, and Corporate cards. 
(3) The Monthly Service Fee is per month per account. The total for accounts is shown. 
(4) The monthly PCI fee of $9.95 per location provides access to PCI tools along with $100k in breach protection if compliant. Failure to become compliant will result in an additional $69.95 monthly fee per location</t>
  </si>
  <si>
    <t>Processor</t>
  </si>
  <si>
    <t>Current</t>
  </si>
  <si>
    <t>Shopworks Pay</t>
  </si>
  <si>
    <t>Location</t>
  </si>
  <si>
    <t>Total</t>
  </si>
  <si>
    <t xml:space="preserve">Rate (1) </t>
  </si>
  <si>
    <t>Card Brand Fees (2)</t>
  </si>
  <si>
    <t>Monthly Service Fee (3)</t>
  </si>
  <si>
    <t>PCI/Breach Protection (4)</t>
  </si>
  <si>
    <t>Online Reporting Fee</t>
  </si>
  <si>
    <t>Non-PCI Fee</t>
  </si>
  <si>
    <t>Review Trackers</t>
  </si>
  <si>
    <t>SaferPayments</t>
  </si>
  <si>
    <t>Transform Fees</t>
  </si>
  <si>
    <t>Total Monthly Fees</t>
  </si>
  <si>
    <t>Average Ticket</t>
  </si>
  <si>
    <t>Number of Transactions</t>
  </si>
  <si>
    <t>This quote includes the following services:
Accelerated Funding: which provides you with Next Business Day deposits into your bank account.
Monthly Billing: which means your will be funded your gross batch total and billed once a month for all of your fees. 
Account Updater: a service that reduces declines by automatically updating your customers' card on file data when information such as Expiration Date, Address or CVV changes. The cost of this service is $1 per update. 
Hardware Fees: If applicable, the hardware fees do not include applicable Sales Tax, Shipping and Handling fees.
ACH Processing:
- ACH Fees: Our rates are .20% &amp; $0.25 per transaction. We charge $25 per ACH Return. 
- ACH Funding: Our standard funding time for ACH payments is seven business days. You can request quicker funding by providing three months of bank statements.
- ACH Limit: Our standard ACH limit is $2,000. You can request higher limits by providing three months of bank statements.       
Optional Features:
Standard Funding: which means funds are deposited to your bank account two (2) business days after the transaction date.
Expiration: 
This merchant processing pricing proposal is valid for a period of 30 days from the date of issuance. Prices and terms outlined in this proposal are subject to change after the expiration date. To secure the quoted rates and conditions, acceptance of the proposal must be received on or before the expiration date. After the expiration date, we reserve the right to revise the proposal based on market conditions and business considerations.</t>
  </si>
  <si>
    <t>TSYS</t>
  </si>
  <si>
    <t>Cash Discount</t>
  </si>
  <si>
    <t>Regulatory Prod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</si>
</sst>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_);_(@_)"/>
    <numFmt numFmtId="165" formatCode="0.0000%"/>
    <numFmt numFmtId="166" formatCode="m/d/yyyy"/>
    <numFmt numFmtId="167" formatCode="_(* #,##0.00_);_(* \(#,##0.00\);_(* \-??_);_(@_)"/>
    <numFmt numFmtId="168" formatCode="_(\$* #,##0_);_(\$* \(#,##0\);_(\$* \-??_);_(@_)"/>
    <numFmt numFmtId="169" formatCode="_(* #,##0_);_(* \(#,##0\);_(* \-??_);_(@_)"/>
  </numFmts>
  <fonts count="17" x14ac:knownFonts="1">
    <font>
      <sz val="11"/>
      <color theme="1"/>
      <name val="Calibri"/>
      <family val="2"/>
      <charset val="1"/>
    </font>
    <font>
      <b/>
      <sz val="12"/>
      <color rgb="FFFFC600"/>
      <name val="Calibri"/>
      <family val="2"/>
      <charset val="1"/>
    </font>
    <font>
      <sz val="12"/>
      <color theme="1"/>
      <name val="Calibri"/>
      <family val="2"/>
      <charset val="1"/>
    </font>
    <font>
      <sz val="12"/>
      <color rgb="FF000000"/>
      <name val="Calibri"/>
      <family val="2"/>
      <charset val="1"/>
    </font>
    <font>
      <b/>
      <sz val="12"/>
      <color theme="0"/>
      <name val="Calibri"/>
      <family val="2"/>
      <charset val="1"/>
    </font>
    <font>
      <b/>
      <sz val="12"/>
      <color theme="1"/>
      <name val="Calibri"/>
      <family val="2"/>
      <charset val="1"/>
    </font>
    <font>
      <b/>
      <sz val="12"/>
      <color theme="4"/>
      <name val="Calibri"/>
      <family val="2"/>
      <charset val="1"/>
    </font>
    <font>
      <b/>
      <sz val="11"/>
      <color theme="0"/>
      <name val="Calibri"/>
      <family val="2"/>
      <charset val="1"/>
    </font>
    <font>
      <b/>
      <sz val="12"/>
      <color rgb="FF0000FF"/>
      <name val="Calibri"/>
      <family val="2"/>
      <charset val="1"/>
    </font>
    <font>
      <sz val="12"/>
      <name val="Calibri"/>
      <family val="2"/>
      <charset val="1"/>
    </font>
    <font>
      <b/>
      <sz val="12"/>
      <name val="Calibri"/>
      <family val="2"/>
      <charset val="1"/>
    </font>
    <font>
      <sz val="12"/>
      <color rgb="FFFFC600"/>
      <name val="Calibri"/>
      <family val="2"/>
      <charset val="1"/>
    </font>
    <font>
      <i/>
      <sz val="12"/>
      <color theme="1"/>
      <name val="Calibri"/>
      <family val="2"/>
      <charset val="1"/>
    </font>
    <font>
      <b/>
      <u/>
      <sz val="12"/>
      <color theme="1"/>
      <name val="Calibri"/>
      <family val="2"/>
      <charset val="1"/>
    </font>
    <font>
      <b/>
      <sz val="12"/>
      <color rgb="FF000000"/>
      <name val="Calibri"/>
      <family val="2"/>
      <charset val="1"/>
    </font>
    <font>
      <sz val="11"/>
      <color theme="1"/>
      <name val="Calibri"/>
      <family val="2"/>
      <charset val="1"/>
    </font>
    <font>
      <b/>
      <sz val="12"/>
      <color theme="1"/>
      <name val="Calibri"/>
      <family val="2"/>
    </font>
  </fonts>
  <fills count="11">
    <fill>
      <patternFill patternType="none"/>
    </fill>
    <fill>
      <patternFill patternType="gray125"/>
    </fill>
    <fill>
      <patternFill patternType="solid">
        <fgColor theme="0" tint="-4.9989318521683403E-2"/>
        <bgColor rgb="FFFFFFFF"/>
      </patternFill>
    </fill>
    <fill>
      <patternFill patternType="solid">
        <fgColor theme="0"/>
        <bgColor rgb="FFF2F2F2"/>
      </patternFill>
    </fill>
    <fill>
      <patternFill patternType="solid">
        <fgColor theme="9" tint="0.59987182226020086"/>
        <bgColor rgb="FFDAE3F3"/>
      </patternFill>
    </fill>
    <fill>
      <patternFill patternType="solid">
        <fgColor theme="4" tint="0.79989013336588644"/>
        <bgColor rgb="FFF2F2F2"/>
      </patternFill>
    </fill>
    <fill>
      <patternFill patternType="solid">
        <fgColor rgb="FF793E7A"/>
        <bgColor rgb="FF993366"/>
      </patternFill>
    </fill>
    <fill>
      <patternFill patternType="solid">
        <fgColor rgb="FF1F559D"/>
        <bgColor rgb="FF333399"/>
      </patternFill>
    </fill>
    <fill>
      <patternFill patternType="solid">
        <fgColor rgb="FF5A2A60"/>
        <bgColor rgb="FF793E7A"/>
      </patternFill>
    </fill>
    <fill>
      <patternFill patternType="solid">
        <fgColor rgb="FFF68636"/>
        <bgColor rgb="FFF2F2F2"/>
      </patternFill>
    </fill>
    <fill>
      <patternFill patternType="solid">
        <fgColor rgb="FFF68636"/>
        <bgColor rgb="FF666699"/>
      </patternFill>
    </fill>
  </fills>
  <borders count="20">
    <border>
      <left/>
      <right/>
      <top/>
      <bottom/>
      <diagonal/>
    </border>
    <border>
      <left/>
      <right/>
      <top/>
      <bottom style="thin">
        <color auto="1"/>
      </bottom>
      <diagonal/>
    </border>
    <border>
      <left/>
      <right/>
      <top style="thin">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bottom style="medium">
        <color auto="1"/>
      </bottom>
      <diagonal/>
    </border>
    <border>
      <left/>
      <right/>
      <top/>
      <bottom style="medium">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auto="1"/>
      </right>
      <top/>
      <bottom style="thin">
        <color indexed="64"/>
      </bottom>
      <diagonal/>
    </border>
    <border>
      <left style="medium">
        <color auto="1"/>
      </left>
      <right style="medium">
        <color auto="1"/>
      </right>
      <top/>
      <bottom style="thin">
        <color indexed="64"/>
      </bottom>
      <diagonal/>
    </border>
    <border>
      <left style="medium">
        <color auto="1"/>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167" fontId="15" fillId="0" borderId="0"/>
    <xf numFmtId="164" fontId="15" fillId="0" borderId="0"/>
    <xf numFmtId="9" fontId="15" fillId="0" borderId="0"/>
  </cellStyleXfs>
  <cellXfs count="82">
    <xf numFmtId="0" fontId="0" fillId="0" borderId="0" xfId="0"/>
    <xf numFmtId="0" fontId="14" fillId="2" borderId="4" xfId="0" applyFont="1" applyFill="1" applyBorder="1" applyAlignment="1">
      <alignment horizontal="left" vertical="top" wrapText="1"/>
    </xf>
    <xf numFmtId="0" fontId="4" fillId="6" borderId="4" xfId="0" applyFont="1" applyFill="1" applyBorder="1" applyAlignment="1">
      <alignment horizontal="center" vertical="center"/>
    </xf>
    <xf numFmtId="0" fontId="2" fillId="2" borderId="4" xfId="0" applyFont="1" applyFill="1" applyBorder="1" applyAlignment="1">
      <alignment vertical="top" wrapText="1"/>
    </xf>
    <xf numFmtId="0" fontId="4" fillId="6" borderId="4" xfId="0" applyFont="1" applyFill="1" applyBorder="1" applyAlignment="1">
      <alignment horizontal="center"/>
    </xf>
    <xf numFmtId="0" fontId="1" fillId="0" borderId="0" xfId="0" applyFont="1"/>
    <xf numFmtId="0" fontId="2" fillId="0" borderId="0" xfId="0" applyFont="1"/>
    <xf numFmtId="164" fontId="2" fillId="0" borderId="0" xfId="2" applyFont="1"/>
    <xf numFmtId="10" fontId="2" fillId="0" borderId="0" xfId="3" applyNumberFormat="1" applyFont="1"/>
    <xf numFmtId="0" fontId="2" fillId="0" borderId="0" xfId="0" applyFont="1" applyAlignment="1">
      <alignment horizontal="right"/>
    </xf>
    <xf numFmtId="0" fontId="2" fillId="2" borderId="1" xfId="0" applyFont="1" applyFill="1" applyBorder="1"/>
    <xf numFmtId="0" fontId="2" fillId="3" borderId="0" xfId="0" applyFont="1" applyFill="1"/>
    <xf numFmtId="165" fontId="2" fillId="0" borderId="0" xfId="3" applyNumberFormat="1" applyFont="1"/>
    <xf numFmtId="0" fontId="3" fillId="0" borderId="0" xfId="0" applyFont="1" applyAlignment="1">
      <alignment horizontal="right"/>
    </xf>
    <xf numFmtId="166" fontId="3" fillId="2" borderId="1" xfId="0" applyNumberFormat="1" applyFont="1" applyFill="1" applyBorder="1" applyAlignment="1">
      <alignment horizontal="left"/>
    </xf>
    <xf numFmtId="167" fontId="2" fillId="0" borderId="0" xfId="0" applyNumberFormat="1" applyFont="1"/>
    <xf numFmtId="0" fontId="2" fillId="2" borderId="0" xfId="0" applyFont="1" applyFill="1"/>
    <xf numFmtId="9" fontId="5" fillId="4" borderId="0" xfId="0" applyNumberFormat="1" applyFont="1" applyFill="1"/>
    <xf numFmtId="164" fontId="2" fillId="4" borderId="0" xfId="0" applyNumberFormat="1" applyFont="1" applyFill="1"/>
    <xf numFmtId="164" fontId="2" fillId="3" borderId="0" xfId="0" applyNumberFormat="1" applyFont="1" applyFill="1"/>
    <xf numFmtId="0" fontId="4" fillId="3" borderId="0" xfId="0" applyFont="1" applyFill="1" applyAlignment="1">
      <alignment horizontal="center" vertical="center"/>
    </xf>
    <xf numFmtId="0" fontId="6" fillId="5" borderId="0" xfId="0" applyFont="1" applyFill="1"/>
    <xf numFmtId="0" fontId="6" fillId="5" borderId="0" xfId="0" applyFont="1" applyFill="1" applyAlignment="1">
      <alignment horizontal="center"/>
    </xf>
    <xf numFmtId="0" fontId="7" fillId="3" borderId="0" xfId="0" applyFont="1" applyFill="1" applyAlignment="1">
      <alignment horizontal="center" vertical="center"/>
    </xf>
    <xf numFmtId="0" fontId="5" fillId="0" borderId="0" xfId="0" applyFont="1"/>
    <xf numFmtId="0" fontId="8" fillId="0" borderId="0" xfId="0" applyFont="1" applyAlignment="1">
      <alignment horizontal="right"/>
    </xf>
    <xf numFmtId="0" fontId="8" fillId="0" borderId="0" xfId="0" applyFont="1"/>
    <xf numFmtId="10" fontId="9" fillId="2" borderId="0" xfId="3" applyNumberFormat="1" applyFont="1" applyFill="1"/>
    <xf numFmtId="167" fontId="9" fillId="2" borderId="0" xfId="1" applyFont="1" applyFill="1"/>
    <xf numFmtId="10" fontId="9" fillId="2" borderId="0" xfId="1" applyNumberFormat="1" applyFont="1" applyFill="1"/>
    <xf numFmtId="0" fontId="9" fillId="0" borderId="0" xfId="0" applyFont="1"/>
    <xf numFmtId="2" fontId="9" fillId="0" borderId="0" xfId="0" applyNumberFormat="1" applyFont="1"/>
    <xf numFmtId="0" fontId="5" fillId="2" borderId="2" xfId="0" applyFont="1" applyFill="1" applyBorder="1"/>
    <xf numFmtId="164" fontId="5" fillId="2" borderId="2" xfId="2" applyFont="1" applyFill="1" applyBorder="1"/>
    <xf numFmtId="164" fontId="2" fillId="2" borderId="0" xfId="0" applyNumberFormat="1" applyFont="1" applyFill="1"/>
    <xf numFmtId="168" fontId="9" fillId="2" borderId="0" xfId="2" applyNumberFormat="1" applyFont="1" applyFill="1"/>
    <xf numFmtId="169" fontId="9" fillId="2" borderId="1" xfId="1" applyNumberFormat="1" applyFont="1" applyFill="1" applyBorder="1"/>
    <xf numFmtId="0" fontId="5" fillId="2" borderId="0" xfId="0" applyFont="1" applyFill="1"/>
    <xf numFmtId="164" fontId="5" fillId="2" borderId="0" xfId="0" applyNumberFormat="1" applyFont="1" applyFill="1"/>
    <xf numFmtId="164" fontId="5" fillId="0" borderId="0" xfId="0" applyNumberFormat="1" applyFont="1"/>
    <xf numFmtId="0" fontId="2" fillId="3" borderId="0" xfId="0" applyFont="1" applyFill="1" applyAlignment="1">
      <alignment vertical="top" wrapText="1"/>
    </xf>
    <xf numFmtId="0" fontId="10" fillId="0" borderId="0" xfId="0" applyFont="1"/>
    <xf numFmtId="0" fontId="9" fillId="0" borderId="0" xfId="0" applyFont="1" applyAlignment="1">
      <alignment vertical="top" wrapText="1"/>
    </xf>
    <xf numFmtId="0" fontId="11" fillId="0" borderId="0" xfId="0" applyFont="1"/>
    <xf numFmtId="0" fontId="4" fillId="0" borderId="0" xfId="0" applyFont="1"/>
    <xf numFmtId="0" fontId="0" fillId="0" borderId="0" xfId="0" applyAlignment="1">
      <alignment vertical="top" wrapText="1"/>
    </xf>
    <xf numFmtId="0" fontId="1" fillId="6" borderId="0" xfId="0" applyFont="1" applyFill="1"/>
    <xf numFmtId="0" fontId="2" fillId="6" borderId="0" xfId="0" applyFont="1" applyFill="1"/>
    <xf numFmtId="0" fontId="4" fillId="6" borderId="5" xfId="0" applyFont="1" applyFill="1" applyBorder="1"/>
    <xf numFmtId="0" fontId="2" fillId="6" borderId="6" xfId="0" applyFont="1" applyFill="1" applyBorder="1"/>
    <xf numFmtId="0" fontId="2" fillId="6" borderId="7" xfId="0" applyFont="1" applyFill="1" applyBorder="1"/>
    <xf numFmtId="0" fontId="2" fillId="2" borderId="8" xfId="0" applyFont="1" applyFill="1" applyBorder="1"/>
    <xf numFmtId="9" fontId="5" fillId="4" borderId="9" xfId="0" applyNumberFormat="1" applyFont="1" applyFill="1" applyBorder="1"/>
    <xf numFmtId="164" fontId="2" fillId="4" borderId="10" xfId="0" applyNumberFormat="1" applyFont="1" applyFill="1" applyBorder="1"/>
    <xf numFmtId="0" fontId="2" fillId="2" borderId="11" xfId="0" applyFont="1" applyFill="1" applyBorder="1"/>
    <xf numFmtId="0" fontId="2" fillId="2" borderId="12" xfId="0" applyFont="1" applyFill="1" applyBorder="1"/>
    <xf numFmtId="164" fontId="2" fillId="4" borderId="3" xfId="0" applyNumberFormat="1" applyFont="1" applyFill="1" applyBorder="1"/>
    <xf numFmtId="0" fontId="4" fillId="7" borderId="0" xfId="0" applyFont="1" applyFill="1"/>
    <xf numFmtId="0" fontId="4" fillId="7" borderId="0" xfId="0" applyFont="1" applyFill="1" applyAlignment="1">
      <alignment horizontal="center"/>
    </xf>
    <xf numFmtId="0" fontId="12" fillId="2" borderId="0" xfId="0" applyFont="1" applyFill="1"/>
    <xf numFmtId="0" fontId="12" fillId="0" borderId="0" xfId="0" applyFont="1"/>
    <xf numFmtId="10" fontId="12" fillId="2" borderId="0" xfId="3" applyNumberFormat="1" applyFont="1" applyFill="1"/>
    <xf numFmtId="10" fontId="12" fillId="3" borderId="0" xfId="3" applyNumberFormat="1" applyFont="1" applyFill="1"/>
    <xf numFmtId="167" fontId="9" fillId="2" borderId="0" xfId="2" applyNumberFormat="1" applyFont="1" applyFill="1"/>
    <xf numFmtId="0" fontId="13" fillId="0" borderId="0" xfId="0" applyFont="1"/>
    <xf numFmtId="164" fontId="2" fillId="0" borderId="0" xfId="0" applyNumberFormat="1" applyFont="1"/>
    <xf numFmtId="164" fontId="5" fillId="2" borderId="2" xfId="0" applyNumberFormat="1" applyFont="1" applyFill="1" applyBorder="1"/>
    <xf numFmtId="0" fontId="4" fillId="8" borderId="4" xfId="0" applyFont="1" applyFill="1" applyBorder="1" applyAlignment="1">
      <alignment vertical="top"/>
    </xf>
    <xf numFmtId="0" fontId="16" fillId="2" borderId="0" xfId="0" applyFont="1" applyFill="1"/>
    <xf numFmtId="0" fontId="4" fillId="9" borderId="0" xfId="0" applyFont="1" applyFill="1" applyAlignment="1">
      <alignment horizontal="center"/>
    </xf>
    <xf numFmtId="0" fontId="4" fillId="10" borderId="0" xfId="0" applyFont="1" applyFill="1" applyAlignment="1">
      <alignment horizontal="center" vertical="center"/>
    </xf>
    <xf numFmtId="0" fontId="4" fillId="10" borderId="0" xfId="0" applyFont="1" applyFill="1" applyAlignment="1">
      <alignment horizontal="center"/>
    </xf>
    <xf numFmtId="0" fontId="4" fillId="10" borderId="0" xfId="0" applyFont="1" applyFill="1"/>
    <xf numFmtId="0" fontId="4" fillId="10" borderId="13" xfId="0" applyFont="1" applyFill="1" applyBorder="1" applyAlignment="1">
      <alignment horizontal="left"/>
    </xf>
    <xf numFmtId="0" fontId="4" fillId="10" borderId="2" xfId="0" applyFont="1" applyFill="1" applyBorder="1" applyAlignment="1">
      <alignment horizontal="left"/>
    </xf>
    <xf numFmtId="0" fontId="4" fillId="10" borderId="14" xfId="0" applyFont="1" applyFill="1" applyBorder="1" applyAlignment="1">
      <alignment horizontal="left"/>
    </xf>
    <xf numFmtId="0" fontId="9" fillId="2" borderId="15" xfId="0" applyFont="1" applyFill="1" applyBorder="1" applyAlignment="1">
      <alignment horizontal="left" vertical="top" wrapText="1"/>
    </xf>
    <xf numFmtId="0" fontId="9" fillId="2" borderId="16" xfId="0" applyFont="1" applyFill="1" applyBorder="1" applyAlignment="1">
      <alignment horizontal="left" vertical="top" wrapText="1"/>
    </xf>
    <xf numFmtId="0" fontId="9" fillId="2" borderId="17" xfId="0" applyFont="1" applyFill="1" applyBorder="1" applyAlignment="1">
      <alignment horizontal="left" vertical="top" wrapText="1"/>
    </xf>
    <xf numFmtId="0" fontId="2" fillId="2" borderId="18"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2" borderId="19" xfId="0" applyFont="1" applyFill="1" applyBorder="1" applyAlignment="1">
      <alignment horizontal="left" vertical="top"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08080"/>
      <rgbColor rgb="FF9999FF"/>
      <rgbColor rgb="FF793E7A"/>
      <rgbColor rgb="FFF2F2F2"/>
      <rgbColor rgb="FFCCFFFF"/>
      <rgbColor rgb="FF660066"/>
      <rgbColor rgb="FFFF8080"/>
      <rgbColor rgb="FF1F559D"/>
      <rgbColor rgb="FFDAE3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600"/>
      <rgbColor rgb="FFFF9900"/>
      <rgbColor rgb="FFFF6600"/>
      <rgbColor rgb="FF666699"/>
      <rgbColor rgb="FF969696"/>
      <rgbColor rgb="FF003366"/>
      <rgbColor rgb="FF339966"/>
      <rgbColor rgb="FF003300"/>
      <rgbColor rgb="FF333300"/>
      <rgbColor rgb="FF993300"/>
      <rgbColor rgb="FF993366"/>
      <rgbColor rgb="FF333399"/>
      <rgbColor rgb="FF5A2A60"/>
      <rgbColor rgb="00003366"/>
      <rgbColor rgb="00339966"/>
      <rgbColor rgb="00003300"/>
      <rgbColor rgb="00333300"/>
      <rgbColor rgb="00993300"/>
      <rgbColor rgb="00993366"/>
      <rgbColor rgb="00333399"/>
      <rgbColor rgb="00333333"/>
    </indexedColors>
    <mruColors>
      <color rgb="FFF6863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127001</xdr:colOff>
      <xdr:row>1</xdr:row>
      <xdr:rowOff>48846</xdr:rowOff>
    </xdr:from>
    <xdr:to>
      <xdr:col>1</xdr:col>
      <xdr:colOff>1162540</xdr:colOff>
      <xdr:row>4</xdr:row>
      <xdr:rowOff>192712</xdr:rowOff>
    </xdr:to>
    <xdr:pic>
      <xdr:nvPicPr>
        <xdr:cNvPr id="2" name="Picture 1" descr="Metro Payment Technologies Logo">
          <a:extLst>
            <a:ext uri="{FF2B5EF4-FFF2-40B4-BE49-F238E27FC236}">
              <a16:creationId xmlns:a16="http://schemas.microsoft.com/office/drawing/2014/main" id="{160FEAF8-6064-D64E-F220-7AB51FBC24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1" y="254000"/>
          <a:ext cx="2188308" cy="759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428040</xdr:colOff>
      <xdr:row>5</xdr:row>
      <xdr:rowOff>13680</xdr:rowOff>
    </xdr:to>
    <xdr:pic>
      <xdr:nvPicPr>
        <xdr:cNvPr id="2" name="Picture 3">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rcRect r="1717"/>
        <a:stretch/>
      </xdr:blipFill>
      <xdr:spPr>
        <a:xfrm>
          <a:off x="0" y="0"/>
          <a:ext cx="4516200" cy="1013760"/>
        </a:xfrm>
        <a:prstGeom prst="rect">
          <a:avLst/>
        </a:prstGeom>
        <a:noFill/>
        <a:ln w="0">
          <a:noFill/>
        </a:ln>
      </xdr:spPr>
    </xdr:pic>
    <xdr:clientData/>
  </xdr:twoCellAnchor>
</xdr:wsDr>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87"/>
  <sheetViews>
    <sheetView showGridLines="0" tabSelected="1" topLeftCell="A33" zoomScale="130" zoomScaleNormal="130" workbookViewId="0">
      <selection activeCell="F43" sqref="F43"/>
    </sheetView>
  </sheetViews>
  <sheetFormatPr baseColWidth="10" defaultColWidth="0" defaultRowHeight="16" x14ac:dyDescent="0.2"/>
  <cols>
    <col min="1" max="1" width="15.1640625" style="5" customWidth="1"/>
    <col min="2" max="2" width="65.5" style="5" customWidth="1"/>
    <col min="3" max="3" width="1.83203125" style="5" customWidth="1"/>
    <col min="4" max="4" width="13.1640625" style="5" customWidth="1"/>
    <col min="5" max="5" width="1.83203125" style="5" customWidth="1"/>
    <col min="6" max="6" width="16.1640625" style="5" customWidth="1"/>
    <col min="7" max="7" width="4" style="5" customWidth="1"/>
    <col min="8" max="9" width="9.1640625" style="5"/>
    <col min="10" max="10" width="11.5" style="5" customWidth="1"/>
    <col min="11" max="11" width="10" style="5" customWidth="1"/>
    <col min="12" max="12" width="13.5" style="5" customWidth="1"/>
    <col min="13" max="13" width="7.5" style="5" customWidth="1"/>
    <col min="14" max="14" width="11.1640625" style="5" customWidth="1"/>
    <col min="15" max="15" width="9.5" style="5" customWidth="1"/>
    <col min="16" max="16" width="6.1640625" style="5" customWidth="1"/>
    <col min="17" max="17" width="5.83203125" style="5" customWidth="1"/>
    <col min="18" max="18" width="1.83203125" style="5" customWidth="1"/>
    <col min="19" max="16384" width="9.1640625" style="5" hidden="1"/>
  </cols>
  <sheetData>
    <row r="1" spans="1:12" s="6" customFormat="1" x14ac:dyDescent="0.2"/>
    <row r="2" spans="1:12" s="6" customFormat="1" x14ac:dyDescent="0.2">
      <c r="A2"/>
      <c r="J2" s="7"/>
    </row>
    <row r="3" spans="1:12" s="6" customFormat="1" x14ac:dyDescent="0.2">
      <c r="J3" s="7"/>
      <c r="K3" s="8"/>
      <c r="L3" s="7"/>
    </row>
    <row r="4" spans="1:12" s="6" customFormat="1" x14ac:dyDescent="0.2">
      <c r="J4" s="7"/>
      <c r="K4" s="8"/>
      <c r="L4" s="7"/>
    </row>
    <row r="5" spans="1:12" s="6" customFormat="1" x14ac:dyDescent="0.2"/>
    <row r="6" spans="1:12" s="6" customFormat="1" x14ac:dyDescent="0.2">
      <c r="L6" s="8"/>
    </row>
    <row r="7" spans="1:12" s="6" customFormat="1" x14ac:dyDescent="0.2">
      <c r="A7" s="9" t="s">
        <v>0</v>
      </c>
      <c r="B7" s="10" t="s">
        <v>1</v>
      </c>
      <c r="C7" s="10"/>
      <c r="D7" s="10"/>
      <c r="E7" s="10"/>
      <c r="F7" s="10"/>
      <c r="G7" s="11"/>
      <c r="H7" s="11"/>
      <c r="L7" s="8"/>
    </row>
    <row r="8" spans="1:12" s="6" customFormat="1" x14ac:dyDescent="0.2">
      <c r="G8" s="11"/>
      <c r="H8" s="11"/>
      <c r="L8" s="7"/>
    </row>
    <row r="9" spans="1:12" s="6" customFormat="1" x14ac:dyDescent="0.2">
      <c r="A9" s="9" t="s">
        <v>2</v>
      </c>
      <c r="B9" s="10" t="s">
        <v>3</v>
      </c>
      <c r="C9" s="10"/>
      <c r="D9" s="10"/>
      <c r="E9" s="10"/>
      <c r="F9" s="10"/>
      <c r="G9" s="11"/>
      <c r="H9" s="11"/>
      <c r="L9" s="12"/>
    </row>
    <row r="10" spans="1:12" s="6" customFormat="1" x14ac:dyDescent="0.2"/>
    <row r="11" spans="1:12" s="6" customFormat="1" x14ac:dyDescent="0.2">
      <c r="A11" s="9" t="s">
        <v>4</v>
      </c>
      <c r="B11" s="10" t="s">
        <v>5</v>
      </c>
      <c r="C11" s="10"/>
      <c r="D11" s="10"/>
      <c r="E11" s="10"/>
      <c r="F11" s="10"/>
    </row>
    <row r="12" spans="1:12" s="6" customFormat="1" x14ac:dyDescent="0.2"/>
    <row r="13" spans="1:12" s="6" customFormat="1" x14ac:dyDescent="0.2">
      <c r="A13" s="13" t="s">
        <v>6</v>
      </c>
      <c r="B13" s="14">
        <v>46168</v>
      </c>
      <c r="C13" s="9"/>
      <c r="D13" s="9"/>
      <c r="E13" s="9"/>
      <c r="F13" s="9"/>
      <c r="G13" s="9"/>
      <c r="H13" s="11"/>
      <c r="K13" s="15"/>
      <c r="L13" s="12"/>
    </row>
    <row r="14" spans="1:12" s="6" customFormat="1" x14ac:dyDescent="0.2"/>
    <row r="16" spans="1:12" s="6" customFormat="1" x14ac:dyDescent="0.2"/>
    <row r="17" spans="2:6" s="6" customFormat="1" x14ac:dyDescent="0.2">
      <c r="B17" s="71" t="s">
        <v>7</v>
      </c>
      <c r="C17" s="72"/>
      <c r="D17" s="72" t="s">
        <v>60</v>
      </c>
      <c r="E17" s="72"/>
      <c r="F17" s="72" t="s">
        <v>8</v>
      </c>
    </row>
    <row r="18" spans="2:6" s="6" customFormat="1" x14ac:dyDescent="0.2">
      <c r="B18" s="16" t="s">
        <v>9</v>
      </c>
      <c r="C18" s="16"/>
      <c r="D18" s="17"/>
      <c r="E18" s="16"/>
      <c r="F18" s="17">
        <f>1-(F52/D52)</f>
        <v>0.43872197993766437</v>
      </c>
    </row>
    <row r="19" spans="2:6" s="6" customFormat="1" x14ac:dyDescent="0.2">
      <c r="B19" s="16" t="s">
        <v>10</v>
      </c>
      <c r="C19" s="16"/>
      <c r="D19" s="18"/>
      <c r="E19" s="16"/>
      <c r="F19" s="18">
        <f>D52-F52</f>
        <v>1195.914</v>
      </c>
    </row>
    <row r="20" spans="2:6" s="6" customFormat="1" x14ac:dyDescent="0.2">
      <c r="B20" s="16" t="s">
        <v>11</v>
      </c>
      <c r="C20" s="16"/>
      <c r="D20" s="18"/>
      <c r="E20" s="16"/>
      <c r="F20" s="18">
        <f>F19*12</f>
        <v>14350.968000000001</v>
      </c>
    </row>
    <row r="21" spans="2:6" s="6" customFormat="1" x14ac:dyDescent="0.2">
      <c r="B21" s="16" t="s">
        <v>12</v>
      </c>
      <c r="C21" s="16"/>
      <c r="D21" s="18"/>
      <c r="E21" s="16"/>
      <c r="F21" s="18">
        <f>F20*3</f>
        <v>43052.904000000002</v>
      </c>
    </row>
    <row r="22" spans="2:6" s="6" customFormat="1" x14ac:dyDescent="0.2">
      <c r="B22" s="11"/>
      <c r="C22" s="11"/>
      <c r="D22" s="11"/>
      <c r="E22" s="11"/>
      <c r="F22" s="19"/>
    </row>
    <row r="23" spans="2:6" s="6" customFormat="1" x14ac:dyDescent="0.2">
      <c r="B23" s="70" t="s">
        <v>13</v>
      </c>
      <c r="C23" s="70"/>
      <c r="D23" s="70"/>
      <c r="E23" s="70"/>
      <c r="F23" s="70"/>
    </row>
    <row r="24" spans="2:6" s="6" customFormat="1" ht="5.25" customHeight="1" x14ac:dyDescent="0.2">
      <c r="B24" s="20"/>
      <c r="C24" s="20"/>
      <c r="D24" s="20"/>
      <c r="E24" s="20"/>
      <c r="F24" s="20"/>
    </row>
    <row r="25" spans="2:6" s="6" customFormat="1" x14ac:dyDescent="0.2">
      <c r="B25" s="21" t="s">
        <v>14</v>
      </c>
      <c r="C25" s="11"/>
      <c r="D25" s="22" t="str">
        <f>D30</f>
        <v>TSYS</v>
      </c>
      <c r="E25" s="11"/>
      <c r="F25" s="69" t="s">
        <v>15</v>
      </c>
    </row>
    <row r="26" spans="2:6" s="6" customFormat="1" x14ac:dyDescent="0.2">
      <c r="B26" s="6" t="s">
        <v>16</v>
      </c>
      <c r="D26" s="8">
        <f>D52/D50</f>
        <v>3.1853603814153524E-2</v>
      </c>
      <c r="E26" s="8"/>
      <c r="F26" s="8">
        <f>F52/F50</f>
        <v>1.7878727680658148E-2</v>
      </c>
    </row>
    <row r="27" spans="2:6" s="6" customFormat="1" x14ac:dyDescent="0.2"/>
    <row r="28" spans="2:6" s="6" customFormat="1" x14ac:dyDescent="0.2">
      <c r="B28" s="70" t="s">
        <v>17</v>
      </c>
      <c r="C28" s="70"/>
      <c r="D28" s="70"/>
      <c r="E28" s="70"/>
      <c r="F28" s="70"/>
    </row>
    <row r="29" spans="2:6" s="6" customFormat="1" ht="4.5" customHeight="1" x14ac:dyDescent="0.2">
      <c r="B29" s="20"/>
      <c r="C29" s="23"/>
      <c r="D29" s="23"/>
      <c r="E29" s="23"/>
      <c r="F29" s="23"/>
    </row>
    <row r="30" spans="2:6" s="6" customFormat="1" x14ac:dyDescent="0.2">
      <c r="B30" s="21" t="s">
        <v>18</v>
      </c>
      <c r="C30" s="24"/>
      <c r="D30" s="22" t="s">
        <v>59</v>
      </c>
      <c r="E30" s="25"/>
      <c r="F30" s="69" t="s">
        <v>15</v>
      </c>
    </row>
    <row r="31" spans="2:6" s="6" customFormat="1" ht="4.5" customHeight="1" x14ac:dyDescent="0.2">
      <c r="B31" s="24"/>
      <c r="C31" s="24"/>
      <c r="D31" s="26"/>
      <c r="E31" s="25"/>
      <c r="F31" s="26"/>
    </row>
    <row r="32" spans="2:6" s="6" customFormat="1" ht="15.75" customHeight="1" x14ac:dyDescent="0.2">
      <c r="B32" s="16" t="s">
        <v>19</v>
      </c>
      <c r="C32" s="24"/>
      <c r="D32" s="27">
        <v>1.1954286248480901E-2</v>
      </c>
      <c r="E32" s="25"/>
      <c r="F32" s="27">
        <f>D32</f>
        <v>1.1954286248480901E-2</v>
      </c>
    </row>
    <row r="33" spans="2:6" s="6" customFormat="1" x14ac:dyDescent="0.2">
      <c r="B33" s="16" t="s">
        <v>20</v>
      </c>
      <c r="C33" s="24"/>
      <c r="D33" s="27">
        <v>1.4999999999999999E-2</v>
      </c>
      <c r="E33" s="25"/>
      <c r="F33" s="27">
        <v>2.5000000000000001E-3</v>
      </c>
    </row>
    <row r="34" spans="2:6" s="6" customFormat="1" x14ac:dyDescent="0.2">
      <c r="B34" s="16" t="s">
        <v>21</v>
      </c>
      <c r="C34" s="24"/>
      <c r="D34" s="28">
        <v>0.1</v>
      </c>
      <c r="E34" s="25"/>
      <c r="F34" s="28">
        <v>0.1</v>
      </c>
    </row>
    <row r="35" spans="2:6" s="6" customFormat="1" x14ac:dyDescent="0.2">
      <c r="B35" s="16" t="s">
        <v>22</v>
      </c>
      <c r="C35" s="24"/>
      <c r="D35" s="27">
        <v>1.40226231653735E-3</v>
      </c>
      <c r="E35" s="25"/>
      <c r="F35" s="29">
        <f>D35</f>
        <v>1.40226231653735E-3</v>
      </c>
    </row>
    <row r="36" spans="2:6" s="6" customFormat="1" x14ac:dyDescent="0.2">
      <c r="B36" s="11"/>
      <c r="C36" s="24"/>
      <c r="D36" s="30"/>
      <c r="E36" s="25"/>
      <c r="F36" s="31"/>
    </row>
    <row r="37" spans="2:6" s="6" customFormat="1" x14ac:dyDescent="0.2">
      <c r="B37" s="68" t="s">
        <v>23</v>
      </c>
      <c r="C37" s="24"/>
      <c r="D37" s="28"/>
      <c r="E37" s="25"/>
      <c r="F37" s="28"/>
    </row>
    <row r="38" spans="2:6" s="6" customFormat="1" x14ac:dyDescent="0.2">
      <c r="B38" s="16" t="s">
        <v>24</v>
      </c>
      <c r="C38" s="24"/>
      <c r="D38" s="28">
        <f>0.0015*D50</f>
        <v>128.364</v>
      </c>
      <c r="E38" s="25"/>
      <c r="F38" s="28">
        <v>0</v>
      </c>
    </row>
    <row r="39" spans="2:6" s="6" customFormat="1" x14ac:dyDescent="0.2">
      <c r="B39" s="16" t="s">
        <v>25</v>
      </c>
      <c r="C39" s="24"/>
      <c r="D39" s="28">
        <v>9.9499999999999993</v>
      </c>
      <c r="E39" s="25"/>
      <c r="F39" s="28">
        <v>10</v>
      </c>
    </row>
    <row r="40" spans="2:6" s="6" customFormat="1" x14ac:dyDescent="0.2">
      <c r="B40" s="16" t="s">
        <v>26</v>
      </c>
      <c r="C40" s="24"/>
      <c r="D40" s="28">
        <v>9.9499999999999993</v>
      </c>
      <c r="E40" s="25"/>
      <c r="F40" s="28">
        <v>10</v>
      </c>
    </row>
    <row r="41" spans="2:6" s="6" customFormat="1" x14ac:dyDescent="0.2">
      <c r="B41" s="16" t="s">
        <v>27</v>
      </c>
      <c r="C41" s="24"/>
      <c r="D41" s="28">
        <v>2</v>
      </c>
      <c r="E41" s="25"/>
      <c r="F41" s="28">
        <v>2</v>
      </c>
    </row>
    <row r="42" spans="2:6" s="6" customFormat="1" x14ac:dyDescent="0.2">
      <c r="B42" s="16" t="s">
        <v>61</v>
      </c>
      <c r="C42" s="24"/>
      <c r="D42" s="28"/>
      <c r="E42" s="25"/>
      <c r="F42" s="28">
        <v>5.95</v>
      </c>
    </row>
    <row r="43" spans="2:6" s="6" customFormat="1" x14ac:dyDescent="0.2">
      <c r="B43" s="16" t="s">
        <v>28</v>
      </c>
      <c r="C43" s="24"/>
      <c r="D43" s="28">
        <v>8</v>
      </c>
      <c r="E43" s="25"/>
      <c r="F43" s="28">
        <v>4.0999999999999996</v>
      </c>
    </row>
    <row r="44" spans="2:6" s="6" customFormat="1" x14ac:dyDescent="0.2">
      <c r="B44" s="32" t="s">
        <v>29</v>
      </c>
      <c r="C44" s="24"/>
      <c r="D44" s="33">
        <f>SUM(D38:D43)</f>
        <v>158.26399999999998</v>
      </c>
      <c r="E44" s="25"/>
      <c r="F44" s="33">
        <f>SUM(F38:F43)</f>
        <v>32.049999999999997</v>
      </c>
    </row>
    <row r="45" spans="2:6" s="6" customFormat="1" x14ac:dyDescent="0.2">
      <c r="C45" s="24"/>
      <c r="E45" s="25"/>
      <c r="F45" s="11"/>
    </row>
    <row r="46" spans="2:6" s="6" customFormat="1" x14ac:dyDescent="0.2">
      <c r="B46" s="16" t="s">
        <v>30</v>
      </c>
      <c r="C46" s="24"/>
      <c r="D46" s="34">
        <v>0</v>
      </c>
      <c r="E46" s="25"/>
      <c r="F46" s="34">
        <v>0</v>
      </c>
    </row>
    <row r="47" spans="2:6" s="6" customFormat="1" x14ac:dyDescent="0.2">
      <c r="B47" s="16" t="s">
        <v>31</v>
      </c>
      <c r="C47" s="24"/>
      <c r="D47" s="34">
        <v>0</v>
      </c>
      <c r="E47" s="25"/>
      <c r="F47" s="34">
        <v>0</v>
      </c>
    </row>
    <row r="48" spans="2:6" s="6" customFormat="1" x14ac:dyDescent="0.2">
      <c r="C48" s="24"/>
      <c r="E48" s="25"/>
      <c r="F48" s="11"/>
    </row>
    <row r="49" spans="2:17" s="6" customFormat="1" x14ac:dyDescent="0.2">
      <c r="B49" s="16" t="s">
        <v>32</v>
      </c>
      <c r="C49" s="24"/>
      <c r="D49" s="34">
        <v>60.86</v>
      </c>
      <c r="E49" s="25"/>
      <c r="F49" s="34">
        <f>D49</f>
        <v>60.86</v>
      </c>
    </row>
    <row r="50" spans="2:17" s="6" customFormat="1" x14ac:dyDescent="0.2">
      <c r="B50" s="16" t="s">
        <v>33</v>
      </c>
      <c r="C50" s="24"/>
      <c r="D50" s="35">
        <v>85576</v>
      </c>
      <c r="E50" s="25"/>
      <c r="F50" s="35">
        <f>D50</f>
        <v>85576</v>
      </c>
    </row>
    <row r="51" spans="2:17" s="6" customFormat="1" x14ac:dyDescent="0.2">
      <c r="B51" s="10" t="s">
        <v>34</v>
      </c>
      <c r="C51" s="24"/>
      <c r="D51" s="36">
        <v>1410</v>
      </c>
      <c r="E51" s="25"/>
      <c r="F51" s="36">
        <f>D51</f>
        <v>1410</v>
      </c>
    </row>
    <row r="52" spans="2:17" s="6" customFormat="1" x14ac:dyDescent="0.2">
      <c r="B52" s="37" t="s">
        <v>35</v>
      </c>
      <c r="C52" s="24"/>
      <c r="D52" s="38">
        <f>D32*D50+D33*D50+D34*D51+D35*D50+D44+D46+D47/12</f>
        <v>2725.9040000000018</v>
      </c>
      <c r="E52" s="25"/>
      <c r="F52" s="38">
        <f>F32*F50+F33*F50+F34*F51+F35*F50+F44+F46+F47/12</f>
        <v>1529.9900000000018</v>
      </c>
    </row>
    <row r="53" spans="2:17" s="6" customFormat="1" x14ac:dyDescent="0.2">
      <c r="B53" s="24"/>
      <c r="C53" s="24"/>
      <c r="D53" s="39"/>
      <c r="E53" s="25"/>
      <c r="F53" s="39"/>
      <c r="H53" s="40"/>
      <c r="I53" s="40"/>
      <c r="J53" s="40"/>
      <c r="K53" s="40"/>
      <c r="L53" s="40"/>
      <c r="M53" s="40"/>
      <c r="N53" s="40"/>
      <c r="O53" s="40"/>
      <c r="P53" s="40"/>
      <c r="Q53" s="40"/>
    </row>
    <row r="54" spans="2:17" s="6" customFormat="1" x14ac:dyDescent="0.2">
      <c r="B54" s="24"/>
      <c r="C54" s="24"/>
      <c r="D54" s="39"/>
      <c r="E54" s="25"/>
      <c r="F54" s="39"/>
      <c r="H54" s="40"/>
      <c r="I54" s="40"/>
      <c r="J54" s="40"/>
      <c r="K54" s="40"/>
      <c r="L54" s="40"/>
      <c r="M54" s="40"/>
      <c r="N54" s="40"/>
      <c r="O54" s="40"/>
      <c r="P54" s="40"/>
      <c r="Q54" s="40"/>
    </row>
    <row r="55" spans="2:17" s="6" customFormat="1" x14ac:dyDescent="0.2">
      <c r="B55" s="24"/>
      <c r="C55" s="24"/>
      <c r="D55" s="39"/>
      <c r="E55" s="25"/>
      <c r="F55" s="39"/>
      <c r="H55" s="40"/>
      <c r="I55" s="40"/>
      <c r="J55" s="40"/>
      <c r="K55" s="40"/>
      <c r="L55" s="40"/>
      <c r="M55" s="40"/>
      <c r="N55" s="40"/>
      <c r="O55" s="40"/>
      <c r="P55" s="40"/>
      <c r="Q55" s="40"/>
    </row>
    <row r="56" spans="2:17" s="6" customFormat="1" x14ac:dyDescent="0.2">
      <c r="B56" s="24"/>
      <c r="C56" s="24"/>
      <c r="D56" s="39"/>
      <c r="E56" s="25"/>
      <c r="F56" s="39"/>
      <c r="H56" s="40"/>
      <c r="I56" s="40"/>
      <c r="J56" s="40"/>
      <c r="K56" s="40"/>
      <c r="L56" s="40"/>
      <c r="M56" s="40"/>
      <c r="N56" s="40"/>
      <c r="O56" s="40"/>
      <c r="P56" s="40"/>
      <c r="Q56" s="40"/>
    </row>
    <row r="57" spans="2:17" s="6" customFormat="1" x14ac:dyDescent="0.2">
      <c r="B57" s="24"/>
      <c r="C57" s="24"/>
      <c r="D57" s="39"/>
      <c r="E57" s="25"/>
      <c r="F57" s="39"/>
      <c r="H57" s="40"/>
      <c r="I57" s="40"/>
      <c r="J57" s="40"/>
      <c r="K57" s="40"/>
      <c r="L57" s="40"/>
      <c r="M57" s="40"/>
      <c r="N57" s="40"/>
      <c r="O57" s="40"/>
      <c r="P57" s="40"/>
      <c r="Q57" s="40"/>
    </row>
    <row r="58" spans="2:17" s="6" customFormat="1" x14ac:dyDescent="0.2">
      <c r="B58" s="24"/>
      <c r="C58" s="24"/>
      <c r="D58" s="39"/>
      <c r="E58" s="25"/>
      <c r="F58" s="39"/>
      <c r="H58" s="40"/>
      <c r="I58" s="40"/>
      <c r="J58" s="40"/>
      <c r="K58" s="40"/>
      <c r="L58" s="40"/>
      <c r="M58" s="40"/>
      <c r="N58" s="40"/>
      <c r="O58" s="40"/>
      <c r="P58" s="40"/>
      <c r="Q58" s="40"/>
    </row>
    <row r="59" spans="2:17" s="6" customFormat="1" x14ac:dyDescent="0.2">
      <c r="B59" s="24"/>
      <c r="C59" s="24"/>
      <c r="D59" s="39"/>
      <c r="E59" s="25"/>
      <c r="F59" s="39"/>
      <c r="H59" s="40"/>
      <c r="I59" s="40"/>
      <c r="J59" s="40"/>
      <c r="K59" s="40"/>
      <c r="L59" s="40"/>
      <c r="M59" s="40"/>
      <c r="N59" s="40"/>
      <c r="O59" s="40"/>
      <c r="P59" s="40"/>
      <c r="Q59" s="40"/>
    </row>
    <row r="60" spans="2:17" x14ac:dyDescent="0.2">
      <c r="B60" s="73" t="s">
        <v>36</v>
      </c>
      <c r="C60" s="74"/>
      <c r="D60" s="74"/>
      <c r="E60" s="74"/>
      <c r="F60" s="75"/>
      <c r="G60" s="41"/>
      <c r="H60" s="41"/>
      <c r="I60" s="41"/>
      <c r="J60" s="41"/>
      <c r="K60" s="41"/>
      <c r="L60" s="41"/>
      <c r="M60" s="41"/>
      <c r="N60" s="41"/>
      <c r="O60" s="41"/>
      <c r="P60" s="41"/>
      <c r="Q60" s="41"/>
    </row>
    <row r="61" spans="2:17" ht="408.75" customHeight="1" x14ac:dyDescent="0.2">
      <c r="B61" s="76" t="s">
        <v>37</v>
      </c>
      <c r="C61" s="77"/>
      <c r="D61" s="77"/>
      <c r="E61" s="77"/>
      <c r="F61" s="78"/>
      <c r="G61" s="42"/>
      <c r="H61" s="42"/>
      <c r="I61" s="42"/>
      <c r="J61" s="42"/>
      <c r="K61" s="42"/>
      <c r="L61" s="42"/>
      <c r="M61" s="42"/>
      <c r="N61" s="42"/>
      <c r="O61" s="42"/>
      <c r="P61" s="42"/>
      <c r="Q61" s="42"/>
    </row>
    <row r="62" spans="2:17" x14ac:dyDescent="0.2">
      <c r="B62" s="43"/>
    </row>
    <row r="63" spans="2:17" x14ac:dyDescent="0.2">
      <c r="B63" s="73" t="s">
        <v>38</v>
      </c>
      <c r="C63" s="74"/>
      <c r="D63" s="74"/>
      <c r="E63" s="74"/>
      <c r="F63" s="75"/>
      <c r="G63" s="44"/>
      <c r="H63" s="44"/>
      <c r="I63" s="44"/>
      <c r="J63" s="44"/>
      <c r="K63" s="44"/>
    </row>
    <row r="64" spans="2:17" ht="228" customHeight="1" x14ac:dyDescent="0.2">
      <c r="B64" s="79" t="s">
        <v>39</v>
      </c>
      <c r="C64" s="80"/>
      <c r="D64" s="80"/>
      <c r="E64" s="80"/>
      <c r="F64" s="81"/>
      <c r="G64" s="45"/>
      <c r="H64" s="45"/>
      <c r="I64" s="45"/>
      <c r="J64" s="45"/>
      <c r="K64" s="45"/>
    </row>
    <row r="65" spans="2:11" x14ac:dyDescent="0.2">
      <c r="B65" s="45"/>
      <c r="C65" s="45"/>
      <c r="D65" s="45"/>
      <c r="E65" s="45"/>
      <c r="F65" s="45"/>
      <c r="G65" s="45"/>
      <c r="H65" s="45"/>
      <c r="I65" s="45"/>
      <c r="J65" s="45"/>
      <c r="K65" s="45"/>
    </row>
    <row r="66" spans="2:11" x14ac:dyDescent="0.2">
      <c r="B66" s="45"/>
      <c r="C66" s="45"/>
      <c r="D66" s="45"/>
      <c r="E66" s="45"/>
      <c r="F66" s="45"/>
      <c r="G66" s="45"/>
      <c r="H66" s="45"/>
      <c r="I66" s="45"/>
      <c r="J66" s="45"/>
      <c r="K66" s="45"/>
    </row>
    <row r="67" spans="2:11" x14ac:dyDescent="0.2">
      <c r="B67" s="45"/>
      <c r="C67" s="45"/>
      <c r="D67" s="45"/>
      <c r="E67" s="45"/>
      <c r="F67" s="45"/>
      <c r="G67" s="45"/>
      <c r="H67" s="45"/>
      <c r="I67" s="45"/>
      <c r="J67" s="45"/>
      <c r="K67" s="45"/>
    </row>
    <row r="68" spans="2:11" x14ac:dyDescent="0.2">
      <c r="B68" s="45"/>
      <c r="C68" s="45"/>
      <c r="D68" s="45"/>
      <c r="E68" s="45"/>
      <c r="F68" s="45"/>
      <c r="G68" s="45"/>
      <c r="H68" s="45"/>
      <c r="I68" s="45"/>
      <c r="J68" s="45"/>
      <c r="K68" s="45"/>
    </row>
    <row r="69" spans="2:11" x14ac:dyDescent="0.2">
      <c r="B69" s="45"/>
      <c r="C69" s="45"/>
      <c r="D69" s="45"/>
      <c r="E69" s="45"/>
      <c r="F69" s="45"/>
      <c r="G69" s="45"/>
      <c r="H69" s="45"/>
      <c r="I69" s="45"/>
      <c r="J69" s="45"/>
      <c r="K69" s="45"/>
    </row>
    <row r="70" spans="2:11" x14ac:dyDescent="0.2">
      <c r="B70" s="45"/>
      <c r="C70" s="45"/>
      <c r="D70" s="45"/>
      <c r="E70" s="45"/>
      <c r="F70" s="45"/>
      <c r="G70" s="45"/>
      <c r="H70" s="45"/>
      <c r="I70" s="45"/>
      <c r="J70" s="45"/>
      <c r="K70" s="45"/>
    </row>
    <row r="71" spans="2:11" x14ac:dyDescent="0.2">
      <c r="B71" s="45"/>
      <c r="C71" s="45"/>
      <c r="D71" s="45"/>
      <c r="E71" s="45"/>
      <c r="F71" s="45"/>
      <c r="G71" s="45"/>
      <c r="H71" s="45"/>
      <c r="I71" s="45"/>
      <c r="J71" s="45"/>
      <c r="K71" s="45"/>
    </row>
    <row r="72" spans="2:11" x14ac:dyDescent="0.2">
      <c r="B72" s="45"/>
      <c r="C72" s="45"/>
      <c r="D72" s="45"/>
      <c r="E72" s="45"/>
      <c r="F72" s="45"/>
      <c r="G72" s="45"/>
      <c r="H72" s="45"/>
      <c r="I72" s="45"/>
      <c r="J72" s="45"/>
      <c r="K72" s="45"/>
    </row>
    <row r="73" spans="2:11" x14ac:dyDescent="0.2">
      <c r="B73" s="45"/>
      <c r="C73" s="45"/>
      <c r="D73" s="45"/>
      <c r="E73" s="45"/>
      <c r="F73" s="45"/>
      <c r="G73" s="45"/>
      <c r="H73" s="45"/>
      <c r="I73" s="45"/>
      <c r="J73" s="45"/>
      <c r="K73" s="45"/>
    </row>
    <row r="74" spans="2:11" x14ac:dyDescent="0.2">
      <c r="B74" s="45"/>
      <c r="C74" s="45"/>
      <c r="D74" s="45"/>
      <c r="E74" s="45"/>
      <c r="F74" s="45"/>
      <c r="G74" s="45"/>
      <c r="H74" s="45"/>
      <c r="I74" s="45"/>
      <c r="J74" s="45"/>
      <c r="K74" s="45"/>
    </row>
    <row r="75" spans="2:11" x14ac:dyDescent="0.2">
      <c r="B75" s="45"/>
      <c r="C75" s="45"/>
      <c r="D75" s="45"/>
      <c r="E75" s="45"/>
      <c r="F75" s="45"/>
      <c r="G75" s="45"/>
      <c r="H75" s="45"/>
      <c r="I75" s="45"/>
      <c r="J75" s="45"/>
      <c r="K75" s="45"/>
    </row>
    <row r="76" spans="2:11" x14ac:dyDescent="0.2">
      <c r="B76" s="45"/>
      <c r="C76" s="45"/>
      <c r="D76" s="45"/>
      <c r="E76" s="45"/>
      <c r="F76" s="45"/>
      <c r="G76" s="45"/>
      <c r="H76" s="45"/>
      <c r="I76" s="45"/>
      <c r="J76" s="45"/>
      <c r="K76" s="45"/>
    </row>
    <row r="77" spans="2:11" x14ac:dyDescent="0.2">
      <c r="B77" s="45"/>
      <c r="C77" s="45"/>
      <c r="D77" s="45"/>
      <c r="E77" s="45"/>
      <c r="F77" s="45"/>
      <c r="G77" s="45"/>
      <c r="H77" s="45"/>
      <c r="I77" s="45"/>
      <c r="J77" s="45"/>
      <c r="K77" s="45"/>
    </row>
    <row r="78" spans="2:11" x14ac:dyDescent="0.2">
      <c r="B78" s="45"/>
      <c r="C78" s="45"/>
      <c r="D78" s="45"/>
      <c r="E78" s="45"/>
      <c r="F78" s="45"/>
      <c r="G78" s="45"/>
      <c r="H78" s="45"/>
      <c r="I78" s="45"/>
      <c r="J78" s="45"/>
      <c r="K78" s="45"/>
    </row>
    <row r="79" spans="2:11" x14ac:dyDescent="0.2">
      <c r="B79" s="45"/>
      <c r="C79" s="45"/>
      <c r="D79" s="45"/>
      <c r="E79" s="45"/>
      <c r="F79" s="45"/>
      <c r="G79" s="45"/>
      <c r="H79" s="45"/>
      <c r="I79" s="45"/>
      <c r="J79" s="45"/>
      <c r="K79" s="45"/>
    </row>
    <row r="80" spans="2:11" x14ac:dyDescent="0.2">
      <c r="B80" s="45"/>
      <c r="C80" s="45"/>
      <c r="D80" s="45"/>
      <c r="E80" s="45"/>
      <c r="F80" s="45"/>
      <c r="G80" s="45"/>
      <c r="H80" s="45"/>
      <c r="I80" s="45"/>
      <c r="J80" s="45"/>
      <c r="K80" s="45"/>
    </row>
    <row r="81" spans="2:11" x14ac:dyDescent="0.2">
      <c r="B81" s="45"/>
      <c r="C81" s="45"/>
      <c r="D81" s="45"/>
      <c r="E81" s="45"/>
      <c r="F81" s="45"/>
      <c r="G81" s="45"/>
      <c r="H81" s="45"/>
      <c r="I81" s="45"/>
      <c r="J81" s="45"/>
      <c r="K81" s="45"/>
    </row>
    <row r="82" spans="2:11" x14ac:dyDescent="0.2">
      <c r="B82" s="45"/>
      <c r="C82" s="45"/>
      <c r="D82" s="45"/>
      <c r="E82" s="45"/>
      <c r="F82" s="45"/>
      <c r="G82" s="45"/>
      <c r="H82" s="45"/>
      <c r="I82" s="45"/>
      <c r="J82" s="45"/>
      <c r="K82" s="45"/>
    </row>
    <row r="83" spans="2:11" x14ac:dyDescent="0.2">
      <c r="B83" s="45"/>
      <c r="C83" s="45"/>
      <c r="D83" s="45"/>
      <c r="E83" s="45"/>
      <c r="F83" s="45"/>
      <c r="G83" s="45"/>
      <c r="H83" s="45"/>
      <c r="I83" s="45"/>
      <c r="J83" s="45"/>
      <c r="K83" s="45"/>
    </row>
    <row r="84" spans="2:11" x14ac:dyDescent="0.2">
      <c r="B84" s="45"/>
      <c r="C84" s="45"/>
      <c r="D84" s="45"/>
      <c r="E84" s="45"/>
      <c r="F84" s="45"/>
      <c r="G84" s="45"/>
      <c r="H84" s="45"/>
      <c r="I84" s="45"/>
      <c r="J84" s="45"/>
      <c r="K84" s="45"/>
    </row>
    <row r="85" spans="2:11" x14ac:dyDescent="0.2">
      <c r="B85" s="45"/>
      <c r="C85" s="45"/>
      <c r="D85" s="45"/>
      <c r="E85" s="45"/>
      <c r="F85" s="45"/>
      <c r="G85" s="45"/>
      <c r="H85" s="45"/>
      <c r="I85" s="45"/>
      <c r="J85" s="45"/>
      <c r="K85" s="45"/>
    </row>
    <row r="86" spans="2:11" x14ac:dyDescent="0.2">
      <c r="B86" s="45"/>
      <c r="C86" s="45"/>
      <c r="D86" s="45"/>
      <c r="E86" s="45"/>
      <c r="F86" s="45"/>
      <c r="G86" s="45"/>
      <c r="H86" s="45"/>
      <c r="I86" s="45"/>
      <c r="J86" s="45"/>
      <c r="K86" s="45"/>
    </row>
    <row r="87" spans="2:11" x14ac:dyDescent="0.2">
      <c r="B87" s="45"/>
      <c r="C87" s="45"/>
      <c r="D87" s="45"/>
      <c r="E87" s="45"/>
      <c r="F87" s="45"/>
      <c r="G87" s="45"/>
      <c r="H87" s="45"/>
      <c r="I87" s="45"/>
      <c r="J87" s="45"/>
      <c r="K87" s="45"/>
    </row>
  </sheetData>
  <mergeCells count="6">
    <mergeCell ref="B64:F64"/>
    <mergeCell ref="B23:F23"/>
    <mergeCell ref="B28:F28"/>
    <mergeCell ref="B60:F60"/>
    <mergeCell ref="B61:F61"/>
    <mergeCell ref="B63:F63"/>
  </mergeCells>
  <pageMargins left="0.25" right="0.25" top="0.75" bottom="0.75" header="0.511811023622047" footer="0.511811023622047"/>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116"/>
  <sheetViews>
    <sheetView showGridLines="0" zoomScale="90" zoomScaleNormal="90" workbookViewId="0">
      <selection activeCell="K39" sqref="K39"/>
    </sheetView>
  </sheetViews>
  <sheetFormatPr baseColWidth="10" defaultColWidth="0" defaultRowHeight="16" zeroHeight="1" x14ac:dyDescent="0.2"/>
  <cols>
    <col min="1" max="1" width="16.5" style="5" customWidth="1"/>
    <col min="2" max="2" width="26.5" style="5" customWidth="1"/>
    <col min="3" max="3" width="1.83203125" style="5" customWidth="1"/>
    <col min="4" max="13" width="13.1640625" style="5" customWidth="1"/>
    <col min="14" max="14" width="1.83203125" style="5" customWidth="1"/>
    <col min="15" max="15" width="13.1640625" style="5" customWidth="1"/>
    <col min="16" max="16" width="1.83203125" style="5" customWidth="1"/>
    <col min="17" max="17" width="16.1640625" style="5" customWidth="1"/>
    <col min="18" max="26" width="9.1640625" style="5"/>
    <col min="27" max="27" width="8.83203125" style="5" customWidth="1"/>
    <col min="28" max="28" width="1.83203125" style="5" customWidth="1"/>
    <col min="29" max="16384" width="9.1640625" style="5" hidden="1"/>
  </cols>
  <sheetData>
    <row r="1" spans="1:28" s="6" customFormat="1" ht="15.75" customHeight="1" x14ac:dyDescent="0.2"/>
    <row r="2" spans="1:28" s="6" customFormat="1" ht="15.75" customHeight="1" x14ac:dyDescent="0.2"/>
    <row r="3" spans="1:28" s="6" customFormat="1" ht="15.75" customHeight="1" x14ac:dyDescent="0.2">
      <c r="T3" s="8"/>
      <c r="Y3" s="8"/>
    </row>
    <row r="4" spans="1:28" s="6" customFormat="1" ht="15.75" customHeight="1" x14ac:dyDescent="0.2">
      <c r="T4" s="8"/>
      <c r="Y4" s="8"/>
    </row>
    <row r="5" spans="1:28" s="6" customFormat="1" ht="15.75" customHeight="1" x14ac:dyDescent="0.2"/>
    <row r="6" spans="1:28" s="6" customFormat="1" ht="15.75" customHeight="1" x14ac:dyDescent="0.2">
      <c r="U6" s="12"/>
      <c r="Z6" s="12"/>
    </row>
    <row r="7" spans="1:28" s="6" customFormat="1" ht="15.75" customHeight="1" x14ac:dyDescent="0.2">
      <c r="A7" s="9" t="s">
        <v>0</v>
      </c>
      <c r="B7" s="10"/>
      <c r="C7" s="10"/>
      <c r="D7" s="10"/>
      <c r="E7" s="10"/>
      <c r="F7" s="10"/>
    </row>
    <row r="8" spans="1:28" s="6" customFormat="1" ht="15.75" customHeight="1" x14ac:dyDescent="0.2"/>
    <row r="9" spans="1:28" s="6" customFormat="1" ht="15.75" customHeight="1" x14ac:dyDescent="0.2">
      <c r="A9" s="9" t="s">
        <v>2</v>
      </c>
      <c r="B9" s="10"/>
      <c r="C9" s="10"/>
      <c r="D9" s="10"/>
      <c r="E9" s="10"/>
      <c r="F9" s="10"/>
    </row>
    <row r="10" spans="1:28" s="6" customFormat="1" ht="15.75" customHeight="1" x14ac:dyDescent="0.2"/>
    <row r="11" spans="1:28" s="6" customFormat="1" ht="15.75" customHeight="1" x14ac:dyDescent="0.2">
      <c r="A11" s="13" t="s">
        <v>6</v>
      </c>
      <c r="B11" s="14"/>
      <c r="C11" s="9"/>
      <c r="D11" s="9"/>
      <c r="E11" s="9"/>
      <c r="F11" s="9"/>
      <c r="G11" s="9"/>
      <c r="H11" s="11"/>
      <c r="K11" s="15"/>
      <c r="L11" s="12"/>
    </row>
    <row r="12" spans="1:28" s="6" customFormat="1" ht="15.75" customHeight="1" x14ac:dyDescent="0.2"/>
    <row r="13" spans="1:28" s="47" customFormat="1" ht="15.75" customHeight="1" x14ac:dyDescent="0.2">
      <c r="A13" s="46"/>
      <c r="B13" s="46"/>
      <c r="C13" s="46"/>
      <c r="D13" s="46"/>
      <c r="E13" s="46"/>
      <c r="F13" s="46"/>
      <c r="G13" s="46"/>
      <c r="H13" s="46"/>
      <c r="I13" s="46"/>
      <c r="J13" s="46"/>
      <c r="K13" s="46"/>
      <c r="L13" s="46"/>
      <c r="M13" s="46"/>
      <c r="N13" s="46"/>
      <c r="O13" s="46"/>
      <c r="P13" s="46"/>
      <c r="Q13" s="46"/>
      <c r="R13" s="46"/>
      <c r="S13" s="46"/>
      <c r="T13" s="46"/>
      <c r="U13" s="46"/>
      <c r="V13" s="46"/>
      <c r="W13" s="46"/>
      <c r="X13" s="46"/>
      <c r="Y13" s="46"/>
      <c r="Z13" s="46"/>
      <c r="AA13" s="46"/>
      <c r="AB13" s="46"/>
    </row>
    <row r="14" spans="1:28" s="6" customFormat="1" ht="16.5" customHeight="1" x14ac:dyDescent="0.2"/>
    <row r="15" spans="1:28" s="6" customFormat="1" ht="16.5" customHeight="1" x14ac:dyDescent="0.2">
      <c r="B15" s="4" t="s">
        <v>7</v>
      </c>
      <c r="C15" s="4"/>
      <c r="D15" s="4"/>
      <c r="E15" s="4"/>
      <c r="F15" s="4"/>
      <c r="G15" s="4"/>
      <c r="H15" s="4"/>
      <c r="I15" s="4"/>
      <c r="J15" s="4"/>
      <c r="K15" s="4"/>
      <c r="L15" s="4"/>
      <c r="M15" s="4"/>
      <c r="N15" s="4"/>
      <c r="O15" s="4"/>
      <c r="P15" s="4"/>
      <c r="Q15" s="4"/>
      <c r="S15" s="48" t="s">
        <v>38</v>
      </c>
      <c r="T15" s="49"/>
      <c r="U15" s="49"/>
      <c r="V15" s="49"/>
      <c r="W15" s="49"/>
      <c r="X15" s="49"/>
      <c r="Y15" s="49"/>
      <c r="Z15" s="49"/>
      <c r="AA15" s="50"/>
    </row>
    <row r="16" spans="1:28" s="6" customFormat="1" ht="15.75" customHeight="1" x14ac:dyDescent="0.2">
      <c r="B16" s="51" t="s">
        <v>9</v>
      </c>
      <c r="C16" s="16"/>
      <c r="D16" s="16"/>
      <c r="E16" s="16"/>
      <c r="F16" s="16"/>
      <c r="G16" s="16"/>
      <c r="H16" s="16"/>
      <c r="I16" s="16"/>
      <c r="J16" s="16"/>
      <c r="K16" s="16"/>
      <c r="L16" s="16"/>
      <c r="M16" s="16"/>
      <c r="N16" s="16"/>
      <c r="O16" s="16"/>
      <c r="P16" s="16"/>
      <c r="Q16" s="52" t="e">
        <f>Q17/O47</f>
        <v>#DIV/0!</v>
      </c>
      <c r="S16" s="3" t="s">
        <v>40</v>
      </c>
      <c r="T16" s="3"/>
      <c r="U16" s="3"/>
      <c r="V16" s="3"/>
      <c r="W16" s="3"/>
      <c r="X16" s="3"/>
      <c r="Y16" s="3"/>
      <c r="Z16" s="3"/>
      <c r="AA16" s="3"/>
    </row>
    <row r="17" spans="2:27" s="6" customFormat="1" ht="15.75" customHeight="1" x14ac:dyDescent="0.2">
      <c r="B17" s="51" t="s">
        <v>10</v>
      </c>
      <c r="C17" s="16"/>
      <c r="D17" s="16"/>
      <c r="E17" s="16"/>
      <c r="F17" s="16"/>
      <c r="G17" s="16"/>
      <c r="H17" s="16"/>
      <c r="I17" s="16"/>
      <c r="J17" s="16"/>
      <c r="K17" s="16"/>
      <c r="L17" s="16"/>
      <c r="M17" s="16"/>
      <c r="N17" s="16"/>
      <c r="O17" s="16"/>
      <c r="P17" s="16"/>
      <c r="Q17" s="53" t="e">
        <f>O47-Q47</f>
        <v>#DIV/0!</v>
      </c>
      <c r="S17" s="3"/>
      <c r="T17" s="3"/>
      <c r="U17" s="3"/>
      <c r="V17" s="3"/>
      <c r="W17" s="3"/>
      <c r="X17" s="3"/>
      <c r="Y17" s="3"/>
      <c r="Z17" s="3"/>
      <c r="AA17" s="3"/>
    </row>
    <row r="18" spans="2:27" s="6" customFormat="1" ht="16.5" customHeight="1" x14ac:dyDescent="0.2">
      <c r="B18" s="54" t="s">
        <v>11</v>
      </c>
      <c r="C18" s="55"/>
      <c r="D18" s="55"/>
      <c r="E18" s="55"/>
      <c r="F18" s="55"/>
      <c r="G18" s="55"/>
      <c r="H18" s="55"/>
      <c r="I18" s="55"/>
      <c r="J18" s="55"/>
      <c r="K18" s="55"/>
      <c r="L18" s="55"/>
      <c r="M18" s="55"/>
      <c r="N18" s="55"/>
      <c r="O18" s="55"/>
      <c r="P18" s="55"/>
      <c r="Q18" s="56" t="e">
        <f>Q17*12</f>
        <v>#DIV/0!</v>
      </c>
      <c r="S18" s="3"/>
      <c r="T18" s="3"/>
      <c r="U18" s="3"/>
      <c r="V18" s="3"/>
      <c r="W18" s="3"/>
      <c r="X18" s="3"/>
      <c r="Y18" s="3"/>
      <c r="Z18" s="3"/>
      <c r="AA18" s="3"/>
    </row>
    <row r="19" spans="2:27" s="6" customFormat="1" ht="16.5" customHeight="1" x14ac:dyDescent="0.2">
      <c r="B19" s="11"/>
      <c r="C19" s="11"/>
      <c r="D19" s="11"/>
      <c r="E19" s="11"/>
      <c r="F19" s="11"/>
      <c r="G19" s="11"/>
      <c r="H19" s="11"/>
      <c r="I19" s="11"/>
      <c r="J19" s="11"/>
      <c r="K19" s="11"/>
      <c r="L19" s="11"/>
      <c r="M19" s="11"/>
      <c r="N19" s="11"/>
      <c r="O19" s="11"/>
      <c r="P19" s="11"/>
      <c r="Q19" s="19"/>
      <c r="S19" s="3"/>
      <c r="T19" s="3"/>
      <c r="U19" s="3"/>
      <c r="V19" s="3"/>
      <c r="W19" s="3"/>
      <c r="X19" s="3"/>
      <c r="Y19" s="3"/>
      <c r="Z19" s="3"/>
      <c r="AA19" s="3"/>
    </row>
    <row r="20" spans="2:27" s="6" customFormat="1" ht="16.5" customHeight="1" x14ac:dyDescent="0.2">
      <c r="B20" s="2" t="s">
        <v>13</v>
      </c>
      <c r="C20" s="2"/>
      <c r="D20" s="2"/>
      <c r="E20" s="2"/>
      <c r="F20" s="2"/>
      <c r="G20" s="2"/>
      <c r="H20" s="2"/>
      <c r="I20" s="2"/>
      <c r="J20" s="2"/>
      <c r="K20" s="2"/>
      <c r="L20" s="2"/>
      <c r="M20" s="2"/>
      <c r="N20" s="2"/>
      <c r="O20" s="2"/>
      <c r="P20" s="2"/>
      <c r="Q20" s="2"/>
      <c r="S20" s="3"/>
      <c r="T20" s="3"/>
      <c r="U20" s="3"/>
      <c r="V20" s="3"/>
      <c r="W20" s="3"/>
      <c r="X20" s="3"/>
      <c r="Y20" s="3"/>
      <c r="Z20" s="3"/>
      <c r="AA20" s="3"/>
    </row>
    <row r="21" spans="2:27" s="6" customFormat="1" ht="4.5" customHeight="1" x14ac:dyDescent="0.2">
      <c r="B21" s="20"/>
      <c r="C21" s="20"/>
      <c r="D21" s="20"/>
      <c r="E21" s="20"/>
      <c r="F21" s="20"/>
      <c r="G21" s="20"/>
      <c r="H21" s="20"/>
      <c r="I21" s="20"/>
      <c r="J21" s="20"/>
      <c r="K21" s="20"/>
      <c r="L21" s="20"/>
      <c r="M21" s="20"/>
      <c r="N21" s="20"/>
      <c r="O21" s="20"/>
      <c r="P21" s="20"/>
      <c r="Q21" s="20"/>
      <c r="S21" s="3"/>
      <c r="T21" s="3"/>
      <c r="U21" s="3"/>
      <c r="V21" s="3"/>
      <c r="W21" s="3"/>
      <c r="X21" s="3"/>
      <c r="Y21" s="3"/>
      <c r="Z21" s="3"/>
      <c r="AA21" s="3"/>
    </row>
    <row r="22" spans="2:27" s="6" customFormat="1" ht="15.75" customHeight="1" x14ac:dyDescent="0.2">
      <c r="B22" s="57" t="s">
        <v>41</v>
      </c>
      <c r="C22" s="11"/>
      <c r="D22" s="58" t="str">
        <f t="shared" ref="D22:M22" si="0">D27</f>
        <v>Current</v>
      </c>
      <c r="E22" s="58" t="str">
        <f t="shared" si="0"/>
        <v>Current</v>
      </c>
      <c r="F22" s="58" t="str">
        <f t="shared" si="0"/>
        <v>Current</v>
      </c>
      <c r="G22" s="58" t="str">
        <f t="shared" si="0"/>
        <v>Current</v>
      </c>
      <c r="H22" s="58" t="str">
        <f t="shared" si="0"/>
        <v>Current</v>
      </c>
      <c r="I22" s="58" t="str">
        <f t="shared" si="0"/>
        <v>Current</v>
      </c>
      <c r="J22" s="58" t="str">
        <f t="shared" si="0"/>
        <v>Current</v>
      </c>
      <c r="K22" s="58" t="str">
        <f t="shared" si="0"/>
        <v>Current</v>
      </c>
      <c r="L22" s="58" t="str">
        <f t="shared" si="0"/>
        <v>Current</v>
      </c>
      <c r="M22" s="58" t="str">
        <f t="shared" si="0"/>
        <v>Current</v>
      </c>
      <c r="N22" s="11"/>
      <c r="O22" s="58" t="str">
        <f>O27</f>
        <v>Current</v>
      </c>
      <c r="P22" s="11"/>
      <c r="Q22" s="58" t="str">
        <f>Q27</f>
        <v>Shopworks Pay</v>
      </c>
      <c r="S22" s="3"/>
      <c r="T22" s="3"/>
      <c r="U22" s="3"/>
      <c r="V22" s="3"/>
      <c r="W22" s="3"/>
      <c r="X22" s="3"/>
      <c r="Y22" s="3"/>
      <c r="Z22" s="3"/>
      <c r="AA22" s="3"/>
    </row>
    <row r="23" spans="2:27" s="6" customFormat="1" ht="15.75" customHeight="1" x14ac:dyDescent="0.2">
      <c r="B23" s="59" t="s">
        <v>16</v>
      </c>
      <c r="C23" s="60"/>
      <c r="D23" s="61" t="e">
        <f t="shared" ref="D23:M23" si="1">D47/D45</f>
        <v>#DIV/0!</v>
      </c>
      <c r="E23" s="61" t="e">
        <f t="shared" si="1"/>
        <v>#DIV/0!</v>
      </c>
      <c r="F23" s="61" t="e">
        <f t="shared" si="1"/>
        <v>#DIV/0!</v>
      </c>
      <c r="G23" s="61" t="e">
        <f t="shared" si="1"/>
        <v>#DIV/0!</v>
      </c>
      <c r="H23" s="61" t="e">
        <f t="shared" si="1"/>
        <v>#DIV/0!</v>
      </c>
      <c r="I23" s="61" t="e">
        <f t="shared" si="1"/>
        <v>#DIV/0!</v>
      </c>
      <c r="J23" s="61" t="e">
        <f t="shared" si="1"/>
        <v>#DIV/0!</v>
      </c>
      <c r="K23" s="61" t="e">
        <f t="shared" si="1"/>
        <v>#DIV/0!</v>
      </c>
      <c r="L23" s="61" t="e">
        <f t="shared" si="1"/>
        <v>#DIV/0!</v>
      </c>
      <c r="M23" s="61" t="e">
        <f t="shared" si="1"/>
        <v>#DIV/0!</v>
      </c>
      <c r="N23" s="62"/>
      <c r="O23" s="61" t="e">
        <f>O47/O45</f>
        <v>#DIV/0!</v>
      </c>
      <c r="P23" s="62"/>
      <c r="Q23" s="61" t="e">
        <f>Q47/Q45</f>
        <v>#DIV/0!</v>
      </c>
      <c r="S23" s="3"/>
      <c r="T23" s="3"/>
      <c r="U23" s="3"/>
      <c r="V23" s="3"/>
      <c r="W23" s="3"/>
      <c r="X23" s="3"/>
      <c r="Y23" s="3"/>
      <c r="Z23" s="3"/>
      <c r="AA23" s="3"/>
    </row>
    <row r="24" spans="2:27" s="6" customFormat="1" ht="15.75" customHeight="1" x14ac:dyDescent="0.2">
      <c r="S24" s="3"/>
      <c r="T24" s="3"/>
      <c r="U24" s="3"/>
      <c r="V24" s="3"/>
      <c r="W24" s="3"/>
      <c r="X24" s="3"/>
      <c r="Y24" s="3"/>
      <c r="Z24" s="3"/>
      <c r="AA24" s="3"/>
    </row>
    <row r="25" spans="2:27" s="6" customFormat="1" ht="17.25" customHeight="1" x14ac:dyDescent="0.2">
      <c r="B25" s="2" t="s">
        <v>17</v>
      </c>
      <c r="C25" s="2"/>
      <c r="D25" s="2"/>
      <c r="E25" s="2"/>
      <c r="F25" s="2"/>
      <c r="G25" s="2"/>
      <c r="H25" s="2"/>
      <c r="I25" s="2"/>
      <c r="J25" s="2"/>
      <c r="K25" s="2"/>
      <c r="L25" s="2"/>
      <c r="M25" s="2"/>
      <c r="N25" s="2"/>
      <c r="O25" s="2"/>
      <c r="P25" s="2"/>
      <c r="Q25" s="2"/>
      <c r="S25" s="3"/>
      <c r="T25" s="3"/>
      <c r="U25" s="3"/>
      <c r="V25" s="3"/>
      <c r="W25" s="3"/>
      <c r="X25" s="3"/>
      <c r="Y25" s="3"/>
      <c r="Z25" s="3"/>
      <c r="AA25" s="3"/>
    </row>
    <row r="26" spans="2:27" s="6" customFormat="1" ht="4.5" customHeight="1" x14ac:dyDescent="0.2">
      <c r="B26" s="20"/>
      <c r="C26" s="23"/>
      <c r="D26" s="23"/>
      <c r="E26" s="23"/>
      <c r="F26" s="23"/>
      <c r="G26" s="23"/>
      <c r="H26" s="23"/>
      <c r="I26" s="23"/>
      <c r="J26" s="23"/>
      <c r="K26" s="23"/>
      <c r="L26" s="23"/>
      <c r="M26" s="23"/>
      <c r="N26" s="23"/>
      <c r="O26" s="23"/>
      <c r="P26" s="23"/>
      <c r="Q26" s="23"/>
      <c r="S26" s="3"/>
      <c r="T26" s="3"/>
      <c r="U26" s="3"/>
      <c r="V26" s="3"/>
      <c r="W26" s="3"/>
      <c r="X26" s="3"/>
      <c r="Y26" s="3"/>
      <c r="Z26" s="3"/>
      <c r="AA26" s="3"/>
    </row>
    <row r="27" spans="2:27" s="6" customFormat="1" ht="15.75" customHeight="1" x14ac:dyDescent="0.2">
      <c r="B27" s="57" t="s">
        <v>41</v>
      </c>
      <c r="C27" s="24"/>
      <c r="D27" s="58" t="s">
        <v>42</v>
      </c>
      <c r="E27" s="58" t="s">
        <v>42</v>
      </c>
      <c r="F27" s="58" t="s">
        <v>42</v>
      </c>
      <c r="G27" s="58" t="s">
        <v>42</v>
      </c>
      <c r="H27" s="58" t="s">
        <v>42</v>
      </c>
      <c r="I27" s="58" t="s">
        <v>42</v>
      </c>
      <c r="J27" s="58" t="s">
        <v>42</v>
      </c>
      <c r="K27" s="58" t="s">
        <v>42</v>
      </c>
      <c r="L27" s="58" t="s">
        <v>42</v>
      </c>
      <c r="M27" s="58" t="s">
        <v>42</v>
      </c>
      <c r="N27" s="39"/>
      <c r="O27" s="58" t="s">
        <v>42</v>
      </c>
      <c r="P27" s="25"/>
      <c r="Q27" s="58" t="s">
        <v>43</v>
      </c>
      <c r="S27" s="3"/>
      <c r="T27" s="3"/>
      <c r="U27" s="3"/>
      <c r="V27" s="3"/>
      <c r="W27" s="3"/>
      <c r="X27" s="3"/>
      <c r="Y27" s="3"/>
      <c r="Z27" s="3"/>
      <c r="AA27" s="3"/>
    </row>
    <row r="28" spans="2:27" s="6" customFormat="1" ht="15.75" customHeight="1" x14ac:dyDescent="0.2">
      <c r="B28" s="57" t="s">
        <v>44</v>
      </c>
      <c r="C28" s="24"/>
      <c r="D28" s="58"/>
      <c r="E28" s="58"/>
      <c r="F28" s="58"/>
      <c r="G28" s="58"/>
      <c r="H28" s="58"/>
      <c r="I28" s="58"/>
      <c r="J28" s="58"/>
      <c r="K28" s="58"/>
      <c r="L28" s="58"/>
      <c r="M28" s="58"/>
      <c r="N28" s="39"/>
      <c r="O28" s="58" t="s">
        <v>45</v>
      </c>
      <c r="P28" s="25"/>
      <c r="Q28" s="58" t="s">
        <v>45</v>
      </c>
      <c r="S28" s="3"/>
      <c r="T28" s="3"/>
      <c r="U28" s="3"/>
      <c r="V28" s="3"/>
      <c r="W28" s="3"/>
      <c r="X28" s="3"/>
      <c r="Y28" s="3"/>
      <c r="Z28" s="3"/>
      <c r="AA28" s="3"/>
    </row>
    <row r="29" spans="2:27" s="6" customFormat="1" ht="6" customHeight="1" x14ac:dyDescent="0.2">
      <c r="B29" s="24"/>
      <c r="C29" s="24"/>
      <c r="D29" s="26"/>
      <c r="E29" s="26"/>
      <c r="F29" s="26"/>
      <c r="G29" s="26"/>
      <c r="H29" s="26"/>
      <c r="I29" s="26"/>
      <c r="J29" s="26"/>
      <c r="K29" s="26"/>
      <c r="L29" s="26"/>
      <c r="M29" s="26"/>
      <c r="N29" s="39"/>
      <c r="O29" s="26"/>
      <c r="P29" s="25"/>
      <c r="Q29" s="26"/>
      <c r="S29" s="3"/>
      <c r="T29" s="3"/>
      <c r="U29" s="3"/>
      <c r="V29" s="3"/>
      <c r="W29" s="3"/>
      <c r="X29" s="3"/>
      <c r="Y29" s="3"/>
      <c r="Z29" s="3"/>
      <c r="AA29" s="3"/>
    </row>
    <row r="30" spans="2:27" s="6" customFormat="1" ht="15.75" customHeight="1" x14ac:dyDescent="0.2">
      <c r="B30" s="16" t="s">
        <v>46</v>
      </c>
      <c r="C30" s="24"/>
      <c r="D30" s="27">
        <v>0</v>
      </c>
      <c r="E30" s="27">
        <v>0</v>
      </c>
      <c r="F30" s="27">
        <v>0</v>
      </c>
      <c r="G30" s="27">
        <v>0</v>
      </c>
      <c r="H30" s="27">
        <v>0</v>
      </c>
      <c r="I30" s="27">
        <v>0</v>
      </c>
      <c r="J30" s="27">
        <v>0</v>
      </c>
      <c r="K30" s="27">
        <v>0</v>
      </c>
      <c r="L30" s="27">
        <v>0</v>
      </c>
      <c r="M30" s="27">
        <v>0</v>
      </c>
      <c r="N30" s="39"/>
      <c r="O30" s="27" t="e">
        <f>((D30*D45)+(E30*E45)+(F30*F45)+(G30*G45)+(H30*H45)+(I30*I45)+(J30*J45)+(K30*K45)+(L30*L45)+(M30*M45))/O45</f>
        <v>#DIV/0!</v>
      </c>
      <c r="P30" s="25"/>
      <c r="Q30" s="27">
        <v>0</v>
      </c>
      <c r="S30" s="3"/>
      <c r="T30" s="3"/>
      <c r="U30" s="3"/>
      <c r="V30" s="3"/>
      <c r="W30" s="3"/>
      <c r="X30" s="3"/>
      <c r="Y30" s="3"/>
      <c r="Z30" s="3"/>
      <c r="AA30" s="3"/>
    </row>
    <row r="31" spans="2:27" s="6" customFormat="1" ht="15.75" customHeight="1" x14ac:dyDescent="0.2">
      <c r="B31" s="16" t="s">
        <v>21</v>
      </c>
      <c r="C31" s="24"/>
      <c r="D31" s="28">
        <v>0</v>
      </c>
      <c r="E31" s="28">
        <v>0</v>
      </c>
      <c r="F31" s="28">
        <v>0</v>
      </c>
      <c r="G31" s="28">
        <v>0</v>
      </c>
      <c r="H31" s="28">
        <v>0</v>
      </c>
      <c r="I31" s="28">
        <v>0</v>
      </c>
      <c r="J31" s="28">
        <v>0</v>
      </c>
      <c r="K31" s="28">
        <v>0</v>
      </c>
      <c r="L31" s="28">
        <v>0</v>
      </c>
      <c r="M31" s="28">
        <v>0</v>
      </c>
      <c r="N31" s="39"/>
      <c r="O31" s="63" t="e">
        <f>((D31*D46)+(E31*E46)+(F31*F46)+(G31*G46)+(H31*H46)+(I31*I46)+(J31*J46)+(K31*K46)+(L31*L46)+(M31*M46))/O46</f>
        <v>#DIV/0!</v>
      </c>
      <c r="P31" s="25"/>
      <c r="Q31" s="28">
        <v>0</v>
      </c>
      <c r="S31" s="3"/>
      <c r="T31" s="3"/>
      <c r="U31" s="3"/>
      <c r="V31" s="3"/>
      <c r="W31" s="3"/>
      <c r="X31" s="3"/>
      <c r="Y31" s="3"/>
      <c r="Z31" s="3"/>
      <c r="AA31" s="3"/>
    </row>
    <row r="32" spans="2:27" s="6" customFormat="1" ht="15.75" customHeight="1" x14ac:dyDescent="0.2">
      <c r="B32" s="16" t="s">
        <v>47</v>
      </c>
      <c r="C32" s="24"/>
      <c r="D32" s="27">
        <v>0</v>
      </c>
      <c r="E32" s="27">
        <v>0</v>
      </c>
      <c r="F32" s="27">
        <v>0</v>
      </c>
      <c r="G32" s="27">
        <v>0</v>
      </c>
      <c r="H32" s="27">
        <v>0</v>
      </c>
      <c r="I32" s="27">
        <v>0</v>
      </c>
      <c r="J32" s="27">
        <v>0</v>
      </c>
      <c r="K32" s="27">
        <v>0</v>
      </c>
      <c r="L32" s="27">
        <v>0</v>
      </c>
      <c r="M32" s="27">
        <v>0</v>
      </c>
      <c r="N32" s="39"/>
      <c r="O32" s="27" t="e">
        <f>((D32*D45)+(E32*E45)+(F32*F45)+(G32*G45)+(H32*H45)+(I32*I45)+(J32*J45)+(K32*K45)+(L32*L45)+(M32*M45))/O45</f>
        <v>#DIV/0!</v>
      </c>
      <c r="P32" s="25"/>
      <c r="Q32" s="27" t="e">
        <f>O32</f>
        <v>#DIV/0!</v>
      </c>
      <c r="S32" s="3"/>
      <c r="T32" s="3"/>
      <c r="U32" s="3"/>
      <c r="V32" s="3"/>
      <c r="W32" s="3"/>
      <c r="X32" s="3"/>
      <c r="Y32" s="3"/>
      <c r="Z32" s="3"/>
      <c r="AA32" s="3"/>
    </row>
    <row r="33" spans="2:27" s="6" customFormat="1" ht="15.75" customHeight="1" x14ac:dyDescent="0.2">
      <c r="B33" s="11"/>
      <c r="C33" s="24"/>
      <c r="D33" s="30"/>
      <c r="E33" s="30"/>
      <c r="F33" s="30"/>
      <c r="G33" s="30"/>
      <c r="H33" s="30"/>
      <c r="I33" s="30"/>
      <c r="J33" s="30"/>
      <c r="K33" s="30"/>
      <c r="L33" s="30"/>
      <c r="M33" s="30"/>
      <c r="N33" s="39"/>
      <c r="O33" s="30"/>
      <c r="P33" s="25"/>
      <c r="Q33" s="31"/>
      <c r="S33" s="3"/>
      <c r="T33" s="3"/>
      <c r="U33" s="3"/>
      <c r="V33" s="3"/>
      <c r="W33" s="3"/>
      <c r="X33" s="3"/>
      <c r="Y33" s="3"/>
      <c r="Z33" s="3"/>
      <c r="AA33" s="3"/>
    </row>
    <row r="34" spans="2:27" s="6" customFormat="1" ht="15.75" customHeight="1" x14ac:dyDescent="0.2">
      <c r="B34" s="16" t="s">
        <v>48</v>
      </c>
      <c r="C34" s="24"/>
      <c r="D34" s="28">
        <v>0</v>
      </c>
      <c r="E34" s="28">
        <v>0</v>
      </c>
      <c r="F34" s="28">
        <v>0</v>
      </c>
      <c r="G34" s="28">
        <v>0</v>
      </c>
      <c r="H34" s="28">
        <v>0</v>
      </c>
      <c r="I34" s="28">
        <v>0</v>
      </c>
      <c r="J34" s="28">
        <v>0</v>
      </c>
      <c r="K34" s="28">
        <v>0</v>
      </c>
      <c r="L34" s="28">
        <v>0</v>
      </c>
      <c r="M34" s="28">
        <v>0</v>
      </c>
      <c r="N34" s="39"/>
      <c r="O34" s="28">
        <f t="shared" ref="O34:O40" si="2">SUM(D34:M34)</f>
        <v>0</v>
      </c>
      <c r="P34" s="25"/>
      <c r="Q34" s="28">
        <v>0</v>
      </c>
      <c r="S34" s="3"/>
      <c r="T34" s="3"/>
      <c r="U34" s="3"/>
      <c r="V34" s="3"/>
      <c r="W34" s="3"/>
      <c r="X34" s="3"/>
      <c r="Y34" s="3"/>
      <c r="Z34" s="3"/>
      <c r="AA34" s="3"/>
    </row>
    <row r="35" spans="2:27" s="6" customFormat="1" ht="15.75" customHeight="1" x14ac:dyDescent="0.2">
      <c r="B35" s="16" t="s">
        <v>49</v>
      </c>
      <c r="C35" s="24"/>
      <c r="D35" s="28">
        <v>0</v>
      </c>
      <c r="E35" s="28">
        <v>0</v>
      </c>
      <c r="F35" s="28">
        <v>0</v>
      </c>
      <c r="G35" s="28">
        <v>0</v>
      </c>
      <c r="H35" s="28">
        <v>0</v>
      </c>
      <c r="I35" s="28">
        <v>0</v>
      </c>
      <c r="J35" s="28">
        <v>0</v>
      </c>
      <c r="K35" s="28">
        <v>0</v>
      </c>
      <c r="L35" s="28">
        <v>0</v>
      </c>
      <c r="M35" s="28">
        <v>0</v>
      </c>
      <c r="N35" s="39"/>
      <c r="O35" s="28">
        <f t="shared" si="2"/>
        <v>0</v>
      </c>
      <c r="P35" s="25"/>
      <c r="Q35" s="28">
        <v>9.9499999999999993</v>
      </c>
      <c r="S35" s="3"/>
      <c r="T35" s="3"/>
      <c r="U35" s="3"/>
      <c r="V35" s="3"/>
      <c r="W35" s="3"/>
      <c r="X35" s="3"/>
      <c r="Y35" s="3"/>
      <c r="Z35" s="3"/>
      <c r="AA35" s="3"/>
    </row>
    <row r="36" spans="2:27" s="6" customFormat="1" ht="15.75" customHeight="1" x14ac:dyDescent="0.2">
      <c r="B36" s="16" t="s">
        <v>50</v>
      </c>
      <c r="C36" s="24"/>
      <c r="D36" s="28">
        <v>0</v>
      </c>
      <c r="E36" s="28">
        <v>0</v>
      </c>
      <c r="F36" s="28">
        <v>0</v>
      </c>
      <c r="G36" s="28">
        <v>0</v>
      </c>
      <c r="H36" s="28">
        <v>0</v>
      </c>
      <c r="I36" s="28">
        <v>0</v>
      </c>
      <c r="J36" s="28">
        <v>0</v>
      </c>
      <c r="K36" s="28">
        <v>0</v>
      </c>
      <c r="L36" s="28">
        <v>0</v>
      </c>
      <c r="M36" s="28">
        <v>0</v>
      </c>
      <c r="N36" s="39"/>
      <c r="O36" s="28">
        <f t="shared" si="2"/>
        <v>0</v>
      </c>
      <c r="P36" s="25"/>
      <c r="Q36" s="28">
        <v>0</v>
      </c>
      <c r="S36" s="3"/>
      <c r="T36" s="3"/>
      <c r="U36" s="3"/>
      <c r="V36" s="3"/>
      <c r="W36" s="3"/>
      <c r="X36" s="3"/>
      <c r="Y36" s="3"/>
      <c r="Z36" s="3"/>
      <c r="AA36" s="3"/>
    </row>
    <row r="37" spans="2:27" s="6" customFormat="1" ht="15.75" customHeight="1" x14ac:dyDescent="0.2">
      <c r="B37" s="16" t="s">
        <v>51</v>
      </c>
      <c r="C37" s="24"/>
      <c r="D37" s="28">
        <v>0</v>
      </c>
      <c r="E37" s="28">
        <v>0</v>
      </c>
      <c r="F37" s="28">
        <v>0</v>
      </c>
      <c r="G37" s="28">
        <v>0</v>
      </c>
      <c r="H37" s="28">
        <v>0</v>
      </c>
      <c r="I37" s="28">
        <v>0</v>
      </c>
      <c r="J37" s="28">
        <v>0</v>
      </c>
      <c r="K37" s="28">
        <v>0</v>
      </c>
      <c r="L37" s="28">
        <v>0</v>
      </c>
      <c r="M37" s="28">
        <v>0</v>
      </c>
      <c r="N37" s="39"/>
      <c r="O37" s="28">
        <f t="shared" si="2"/>
        <v>0</v>
      </c>
      <c r="P37" s="25"/>
      <c r="Q37" s="28">
        <v>0</v>
      </c>
      <c r="S37" s="3"/>
      <c r="T37" s="3"/>
      <c r="U37" s="3"/>
      <c r="V37" s="3"/>
      <c r="W37" s="3"/>
      <c r="X37" s="3"/>
      <c r="Y37" s="3"/>
      <c r="Z37" s="3"/>
      <c r="AA37" s="3"/>
    </row>
    <row r="38" spans="2:27" s="6" customFormat="1" ht="15.75" customHeight="1" x14ac:dyDescent="0.2">
      <c r="B38" s="16" t="s">
        <v>52</v>
      </c>
      <c r="C38" s="24"/>
      <c r="D38" s="28">
        <v>0</v>
      </c>
      <c r="E38" s="28">
        <v>0</v>
      </c>
      <c r="F38" s="28">
        <v>0</v>
      </c>
      <c r="G38" s="28">
        <v>0</v>
      </c>
      <c r="H38" s="28">
        <v>0</v>
      </c>
      <c r="I38" s="28">
        <v>0</v>
      </c>
      <c r="J38" s="28">
        <v>0</v>
      </c>
      <c r="K38" s="28">
        <v>0</v>
      </c>
      <c r="L38" s="28">
        <v>0</v>
      </c>
      <c r="M38" s="28">
        <v>0</v>
      </c>
      <c r="N38" s="39"/>
      <c r="O38" s="28">
        <f t="shared" si="2"/>
        <v>0</v>
      </c>
      <c r="P38" s="25"/>
      <c r="Q38" s="28">
        <v>0</v>
      </c>
      <c r="S38" s="3"/>
      <c r="T38" s="3"/>
      <c r="U38" s="3"/>
      <c r="V38" s="3"/>
      <c r="W38" s="3"/>
      <c r="X38" s="3"/>
      <c r="Y38" s="3"/>
      <c r="Z38" s="3"/>
      <c r="AA38" s="3"/>
    </row>
    <row r="39" spans="2:27" s="6" customFormat="1" ht="15.75" customHeight="1" x14ac:dyDescent="0.2">
      <c r="B39" s="16" t="s">
        <v>53</v>
      </c>
      <c r="C39" s="24"/>
      <c r="D39" s="28">
        <v>0</v>
      </c>
      <c r="E39" s="28">
        <v>0</v>
      </c>
      <c r="F39" s="28">
        <v>0</v>
      </c>
      <c r="G39" s="28">
        <v>0</v>
      </c>
      <c r="H39" s="28">
        <v>0</v>
      </c>
      <c r="I39" s="28">
        <v>0</v>
      </c>
      <c r="J39" s="28">
        <v>0</v>
      </c>
      <c r="K39" s="28">
        <v>0</v>
      </c>
      <c r="L39" s="28">
        <v>0</v>
      </c>
      <c r="M39" s="28">
        <v>0</v>
      </c>
      <c r="N39" s="39"/>
      <c r="O39" s="28">
        <f t="shared" si="2"/>
        <v>0</v>
      </c>
      <c r="P39" s="25"/>
      <c r="Q39" s="28">
        <v>0</v>
      </c>
      <c r="S39" s="3"/>
      <c r="T39" s="3"/>
      <c r="U39" s="3"/>
      <c r="V39" s="3"/>
      <c r="W39" s="3"/>
      <c r="X39" s="3"/>
      <c r="Y39" s="3"/>
      <c r="Z39" s="3"/>
      <c r="AA39" s="3"/>
    </row>
    <row r="40" spans="2:27" s="6" customFormat="1" ht="15.75" customHeight="1" x14ac:dyDescent="0.2">
      <c r="B40" s="16" t="s">
        <v>54</v>
      </c>
      <c r="C40" s="24"/>
      <c r="D40" s="28">
        <v>0</v>
      </c>
      <c r="E40" s="28">
        <v>0</v>
      </c>
      <c r="F40" s="28">
        <v>0</v>
      </c>
      <c r="G40" s="28">
        <v>0</v>
      </c>
      <c r="H40" s="28">
        <v>0</v>
      </c>
      <c r="I40" s="28">
        <v>0</v>
      </c>
      <c r="J40" s="28">
        <v>0</v>
      </c>
      <c r="K40" s="28">
        <v>0</v>
      </c>
      <c r="L40" s="28">
        <v>0</v>
      </c>
      <c r="M40" s="28">
        <v>0</v>
      </c>
      <c r="N40" s="39"/>
      <c r="O40" s="28">
        <f t="shared" si="2"/>
        <v>0</v>
      </c>
      <c r="P40" s="25"/>
      <c r="Q40" s="28">
        <v>0</v>
      </c>
      <c r="S40" s="3"/>
      <c r="T40" s="3"/>
      <c r="U40" s="3"/>
      <c r="V40" s="3"/>
      <c r="W40" s="3"/>
      <c r="X40" s="3"/>
      <c r="Y40" s="3"/>
      <c r="Z40" s="3"/>
      <c r="AA40" s="3"/>
    </row>
    <row r="41" spans="2:27" s="6" customFormat="1" ht="16.5" customHeight="1" x14ac:dyDescent="0.2">
      <c r="B41" s="32" t="s">
        <v>55</v>
      </c>
      <c r="C41" s="24"/>
      <c r="D41" s="33">
        <f t="shared" ref="D41:M41" si="3">SUM(D34:D40)</f>
        <v>0</v>
      </c>
      <c r="E41" s="33">
        <f t="shared" si="3"/>
        <v>0</v>
      </c>
      <c r="F41" s="33">
        <f t="shared" si="3"/>
        <v>0</v>
      </c>
      <c r="G41" s="33">
        <f t="shared" si="3"/>
        <v>0</v>
      </c>
      <c r="H41" s="33">
        <f t="shared" si="3"/>
        <v>0</v>
      </c>
      <c r="I41" s="33">
        <f t="shared" si="3"/>
        <v>0</v>
      </c>
      <c r="J41" s="33">
        <f t="shared" si="3"/>
        <v>0</v>
      </c>
      <c r="K41" s="33">
        <f t="shared" si="3"/>
        <v>0</v>
      </c>
      <c r="L41" s="33">
        <f t="shared" si="3"/>
        <v>0</v>
      </c>
      <c r="M41" s="33">
        <f t="shared" si="3"/>
        <v>0</v>
      </c>
      <c r="N41" s="39"/>
      <c r="O41" s="33">
        <f>SUM(O34:O40)</f>
        <v>0</v>
      </c>
      <c r="P41" s="25"/>
      <c r="Q41" s="33">
        <f>SUM(Q34:Q40)</f>
        <v>9.9499999999999993</v>
      </c>
      <c r="S41" s="3"/>
      <c r="T41" s="3"/>
      <c r="U41" s="3"/>
      <c r="V41" s="3"/>
      <c r="W41" s="3"/>
      <c r="X41" s="3"/>
      <c r="Y41" s="3"/>
      <c r="Z41" s="3"/>
      <c r="AA41" s="3"/>
    </row>
    <row r="42" spans="2:27" s="6" customFormat="1" ht="15.75" customHeight="1" x14ac:dyDescent="0.2">
      <c r="C42" s="24"/>
      <c r="N42" s="39"/>
      <c r="P42" s="25"/>
      <c r="Q42" s="11"/>
      <c r="S42" s="40"/>
      <c r="T42" s="40"/>
      <c r="U42" s="40"/>
      <c r="V42" s="40"/>
      <c r="W42" s="40"/>
      <c r="X42" s="40"/>
      <c r="Y42" s="40"/>
      <c r="Z42" s="40"/>
      <c r="AA42" s="40"/>
    </row>
    <row r="43" spans="2:27" s="6" customFormat="1" ht="15.75" customHeight="1" x14ac:dyDescent="0.2">
      <c r="B43" s="16" t="s">
        <v>56</v>
      </c>
      <c r="C43" s="24"/>
      <c r="D43" s="34" t="e">
        <f t="shared" ref="D43:M43" si="4">D45/D46</f>
        <v>#DIV/0!</v>
      </c>
      <c r="E43" s="34" t="e">
        <f t="shared" si="4"/>
        <v>#DIV/0!</v>
      </c>
      <c r="F43" s="34" t="e">
        <f t="shared" si="4"/>
        <v>#DIV/0!</v>
      </c>
      <c r="G43" s="34" t="e">
        <f t="shared" si="4"/>
        <v>#DIV/0!</v>
      </c>
      <c r="H43" s="34" t="e">
        <f t="shared" si="4"/>
        <v>#DIV/0!</v>
      </c>
      <c r="I43" s="34" t="e">
        <f t="shared" si="4"/>
        <v>#DIV/0!</v>
      </c>
      <c r="J43" s="34" t="e">
        <f t="shared" si="4"/>
        <v>#DIV/0!</v>
      </c>
      <c r="K43" s="34" t="e">
        <f t="shared" si="4"/>
        <v>#DIV/0!</v>
      </c>
      <c r="L43" s="34" t="e">
        <f t="shared" si="4"/>
        <v>#DIV/0!</v>
      </c>
      <c r="M43" s="34" t="e">
        <f t="shared" si="4"/>
        <v>#DIV/0!</v>
      </c>
      <c r="N43" s="39"/>
      <c r="O43" s="34" t="e">
        <f>O45/O46</f>
        <v>#DIV/0!</v>
      </c>
      <c r="P43" s="25"/>
      <c r="Q43" s="34" t="e">
        <f>Q45/Q46</f>
        <v>#DIV/0!</v>
      </c>
      <c r="S43" s="64"/>
      <c r="T43" s="5"/>
      <c r="U43" s="5"/>
      <c r="V43" s="5"/>
      <c r="W43" s="5"/>
      <c r="X43" s="5"/>
      <c r="Y43" s="5"/>
      <c r="Z43" s="5"/>
      <c r="AA43" s="5"/>
    </row>
    <row r="44" spans="2:27" s="6" customFormat="1" ht="15.75" customHeight="1" x14ac:dyDescent="0.2">
      <c r="C44" s="24"/>
      <c r="D44" s="65"/>
      <c r="E44" s="65"/>
      <c r="F44" s="65"/>
      <c r="G44" s="65"/>
      <c r="H44" s="65"/>
      <c r="I44" s="65"/>
      <c r="J44" s="65"/>
      <c r="K44" s="65"/>
      <c r="L44" s="65"/>
      <c r="M44" s="65"/>
      <c r="N44" s="39"/>
      <c r="O44" s="65"/>
      <c r="P44" s="25"/>
      <c r="Q44" s="65"/>
      <c r="S44" s="41"/>
      <c r="T44" s="5"/>
      <c r="U44" s="5"/>
      <c r="V44" s="5"/>
      <c r="W44" s="5"/>
      <c r="X44" s="5"/>
      <c r="Y44" s="5"/>
      <c r="Z44" s="5"/>
      <c r="AA44" s="5"/>
    </row>
    <row r="45" spans="2:27" s="6" customFormat="1" ht="15.75" customHeight="1" x14ac:dyDescent="0.2">
      <c r="B45" s="16" t="s">
        <v>33</v>
      </c>
      <c r="C45" s="24"/>
      <c r="D45" s="35">
        <v>0</v>
      </c>
      <c r="E45" s="35">
        <v>0</v>
      </c>
      <c r="F45" s="35">
        <v>0</v>
      </c>
      <c r="G45" s="35">
        <v>0</v>
      </c>
      <c r="H45" s="35">
        <v>0</v>
      </c>
      <c r="I45" s="35">
        <v>0</v>
      </c>
      <c r="J45" s="35">
        <v>0</v>
      </c>
      <c r="K45" s="35">
        <v>0</v>
      </c>
      <c r="L45" s="35">
        <v>0</v>
      </c>
      <c r="M45" s="35">
        <v>0</v>
      </c>
      <c r="N45" s="39"/>
      <c r="O45" s="35">
        <f>SUM(D45:M45)</f>
        <v>0</v>
      </c>
      <c r="P45" s="25"/>
      <c r="Q45" s="35">
        <f>O45</f>
        <v>0</v>
      </c>
      <c r="S45" s="24"/>
      <c r="T45" s="5"/>
      <c r="U45" s="5"/>
      <c r="V45" s="5"/>
      <c r="W45" s="5"/>
      <c r="X45" s="5"/>
      <c r="Y45" s="5"/>
      <c r="Z45" s="5"/>
      <c r="AA45" s="5"/>
    </row>
    <row r="46" spans="2:27" s="6" customFormat="1" ht="15.75" customHeight="1" x14ac:dyDescent="0.2">
      <c r="B46" s="10" t="s">
        <v>57</v>
      </c>
      <c r="C46" s="24"/>
      <c r="D46" s="36">
        <v>0</v>
      </c>
      <c r="E46" s="36">
        <v>0</v>
      </c>
      <c r="F46" s="36">
        <v>0</v>
      </c>
      <c r="G46" s="36">
        <v>0</v>
      </c>
      <c r="H46" s="36">
        <v>0</v>
      </c>
      <c r="I46" s="36">
        <v>0</v>
      </c>
      <c r="J46" s="36">
        <v>0</v>
      </c>
      <c r="K46" s="36">
        <v>0</v>
      </c>
      <c r="L46" s="36">
        <v>0</v>
      </c>
      <c r="M46" s="36">
        <v>0</v>
      </c>
      <c r="N46" s="39"/>
      <c r="O46" s="36">
        <f>SUM(D46:M46)</f>
        <v>0</v>
      </c>
      <c r="P46" s="25"/>
      <c r="Q46" s="36">
        <f>O46</f>
        <v>0</v>
      </c>
      <c r="S46" s="5"/>
      <c r="T46" s="5"/>
      <c r="U46" s="5"/>
      <c r="V46" s="5"/>
      <c r="W46" s="5"/>
      <c r="X46" s="5"/>
      <c r="Y46" s="5"/>
      <c r="Z46" s="5"/>
      <c r="AA46" s="5"/>
    </row>
    <row r="47" spans="2:27" s="6" customFormat="1" ht="15.75" customHeight="1" x14ac:dyDescent="0.2">
      <c r="B47" s="32" t="s">
        <v>35</v>
      </c>
      <c r="C47" s="24"/>
      <c r="D47" s="66">
        <f t="shared" ref="D47:M47" si="5">D30*D45+(D31*D46)+D41 + D32 * D45</f>
        <v>0</v>
      </c>
      <c r="E47" s="66">
        <f t="shared" si="5"/>
        <v>0</v>
      </c>
      <c r="F47" s="66">
        <f t="shared" si="5"/>
        <v>0</v>
      </c>
      <c r="G47" s="66">
        <f t="shared" si="5"/>
        <v>0</v>
      </c>
      <c r="H47" s="66">
        <f t="shared" si="5"/>
        <v>0</v>
      </c>
      <c r="I47" s="66">
        <f t="shared" si="5"/>
        <v>0</v>
      </c>
      <c r="J47" s="66">
        <f t="shared" si="5"/>
        <v>0</v>
      </c>
      <c r="K47" s="66">
        <f t="shared" si="5"/>
        <v>0</v>
      </c>
      <c r="L47" s="66">
        <f t="shared" si="5"/>
        <v>0</v>
      </c>
      <c r="M47" s="66">
        <f t="shared" si="5"/>
        <v>0</v>
      </c>
      <c r="N47" s="39"/>
      <c r="O47" s="66">
        <f>SUM(D47:M47)</f>
        <v>0</v>
      </c>
      <c r="P47" s="25"/>
      <c r="Q47" s="66" t="e">
        <f>(Q30*Q45)+(Q31*Q46)+(Q32*Q45)+(Q41)</f>
        <v>#DIV/0!</v>
      </c>
      <c r="S47" s="5"/>
      <c r="T47" s="5"/>
      <c r="U47" s="5"/>
      <c r="V47" s="5"/>
      <c r="W47" s="5"/>
      <c r="X47" s="5"/>
      <c r="Y47" s="5"/>
      <c r="Z47" s="5"/>
      <c r="AA47" s="5"/>
    </row>
    <row r="48" spans="2:27" s="6" customFormat="1" ht="16.5" customHeight="1" x14ac:dyDescent="0.2">
      <c r="B48" s="24"/>
      <c r="C48" s="24"/>
      <c r="D48" s="39"/>
      <c r="E48" s="39"/>
      <c r="F48" s="39"/>
      <c r="G48" s="39"/>
      <c r="H48" s="39"/>
      <c r="I48" s="39"/>
      <c r="J48" s="39"/>
      <c r="K48" s="39"/>
      <c r="L48" s="39"/>
      <c r="M48" s="39"/>
      <c r="N48" s="39"/>
      <c r="O48" s="39"/>
      <c r="P48" s="25"/>
      <c r="Q48" s="39"/>
      <c r="S48" s="5"/>
      <c r="T48" s="5"/>
      <c r="U48" s="5"/>
      <c r="V48" s="5"/>
      <c r="W48" s="5"/>
      <c r="X48" s="5"/>
      <c r="Y48" s="5"/>
      <c r="Z48" s="5"/>
      <c r="AA48" s="5"/>
    </row>
    <row r="49" spans="2:16" ht="16.5" customHeight="1" x14ac:dyDescent="0.2">
      <c r="B49" s="67" t="s">
        <v>36</v>
      </c>
      <c r="C49" s="41"/>
      <c r="D49" s="41"/>
      <c r="E49" s="41"/>
      <c r="F49" s="41"/>
      <c r="G49" s="41"/>
      <c r="H49" s="41"/>
      <c r="I49" s="41"/>
      <c r="J49" s="41"/>
      <c r="K49" s="41"/>
      <c r="L49" s="41"/>
      <c r="M49" s="41"/>
      <c r="N49" s="41"/>
      <c r="O49" s="41"/>
      <c r="P49" s="41"/>
    </row>
    <row r="50" spans="2:16" ht="15.75" customHeight="1" x14ac:dyDescent="0.2">
      <c r="B50" s="1" t="s">
        <v>58</v>
      </c>
      <c r="C50" s="1"/>
      <c r="D50" s="1"/>
      <c r="E50" s="1"/>
      <c r="F50" s="1"/>
      <c r="G50" s="1"/>
      <c r="H50" s="1"/>
      <c r="I50" s="1"/>
      <c r="J50" s="1"/>
      <c r="K50" s="1"/>
      <c r="L50" s="1"/>
      <c r="M50" s="1"/>
      <c r="N50" s="1"/>
      <c r="O50" s="1"/>
      <c r="P50" s="1"/>
    </row>
    <row r="51" spans="2:16" ht="15.75" customHeight="1" x14ac:dyDescent="0.2">
      <c r="B51" s="1"/>
      <c r="C51" s="1"/>
      <c r="D51" s="1"/>
      <c r="E51" s="1"/>
      <c r="F51" s="1"/>
      <c r="G51" s="1"/>
      <c r="H51" s="1"/>
      <c r="I51" s="1"/>
      <c r="J51" s="1"/>
      <c r="K51" s="1"/>
      <c r="L51" s="1"/>
      <c r="M51" s="1"/>
      <c r="N51" s="1"/>
      <c r="O51" s="1"/>
      <c r="P51" s="1"/>
    </row>
    <row r="52" spans="2:16" ht="15.75" customHeight="1" x14ac:dyDescent="0.2">
      <c r="B52" s="1"/>
      <c r="C52" s="1"/>
      <c r="D52" s="1"/>
      <c r="E52" s="1"/>
      <c r="F52" s="1"/>
      <c r="G52" s="1"/>
      <c r="H52" s="1"/>
      <c r="I52" s="1"/>
      <c r="J52" s="1"/>
      <c r="K52" s="1"/>
      <c r="L52" s="1"/>
      <c r="M52" s="1"/>
      <c r="N52" s="1"/>
      <c r="O52" s="1"/>
      <c r="P52" s="1"/>
    </row>
    <row r="53" spans="2:16" ht="15.75" customHeight="1" x14ac:dyDescent="0.2">
      <c r="B53" s="1"/>
      <c r="C53" s="1"/>
      <c r="D53" s="1"/>
      <c r="E53" s="1"/>
      <c r="F53" s="1"/>
      <c r="G53" s="1"/>
      <c r="H53" s="1"/>
      <c r="I53" s="1"/>
      <c r="J53" s="1"/>
      <c r="K53" s="1"/>
      <c r="L53" s="1"/>
      <c r="M53" s="1"/>
      <c r="N53" s="1"/>
      <c r="O53" s="1"/>
      <c r="P53" s="1"/>
    </row>
    <row r="54" spans="2:16" ht="15.75" customHeight="1" x14ac:dyDescent="0.2">
      <c r="B54" s="1"/>
      <c r="C54" s="1"/>
      <c r="D54" s="1"/>
      <c r="E54" s="1"/>
      <c r="F54" s="1"/>
      <c r="G54" s="1"/>
      <c r="H54" s="1"/>
      <c r="I54" s="1"/>
      <c r="J54" s="1"/>
      <c r="K54" s="1"/>
      <c r="L54" s="1"/>
      <c r="M54" s="1"/>
      <c r="N54" s="1"/>
      <c r="O54" s="1"/>
      <c r="P54" s="1"/>
    </row>
    <row r="55" spans="2:16" ht="15.75" customHeight="1" x14ac:dyDescent="0.2">
      <c r="B55" s="1"/>
      <c r="C55" s="1"/>
      <c r="D55" s="1"/>
      <c r="E55" s="1"/>
      <c r="F55" s="1"/>
      <c r="G55" s="1"/>
      <c r="H55" s="1"/>
      <c r="I55" s="1"/>
      <c r="J55" s="1"/>
      <c r="K55" s="1"/>
      <c r="L55" s="1"/>
      <c r="M55" s="1"/>
      <c r="N55" s="1"/>
      <c r="O55" s="1"/>
      <c r="P55" s="1"/>
    </row>
    <row r="56" spans="2:16" ht="25.5" customHeight="1" x14ac:dyDescent="0.2">
      <c r="B56" s="1"/>
      <c r="C56" s="1"/>
      <c r="D56" s="1"/>
      <c r="E56" s="1"/>
      <c r="F56" s="1"/>
      <c r="G56" s="1"/>
      <c r="H56" s="1"/>
      <c r="I56" s="1"/>
      <c r="J56" s="1"/>
      <c r="K56" s="1"/>
      <c r="L56" s="1"/>
      <c r="M56" s="1"/>
      <c r="N56" s="1"/>
      <c r="O56" s="1"/>
      <c r="P56" s="1"/>
    </row>
    <row r="57" spans="2:16" ht="15.75" customHeight="1" x14ac:dyDescent="0.2">
      <c r="B57" s="1"/>
      <c r="C57" s="1"/>
      <c r="D57" s="1"/>
      <c r="E57" s="1"/>
      <c r="F57" s="1"/>
      <c r="G57" s="1"/>
      <c r="H57" s="1"/>
      <c r="I57" s="1"/>
      <c r="J57" s="1"/>
      <c r="K57" s="1"/>
      <c r="L57" s="1"/>
      <c r="M57" s="1"/>
      <c r="N57" s="1"/>
      <c r="O57" s="1"/>
      <c r="P57" s="1"/>
    </row>
    <row r="58" spans="2:16" ht="15.75" customHeight="1" x14ac:dyDescent="0.2">
      <c r="B58" s="1"/>
      <c r="C58" s="1"/>
      <c r="D58" s="1"/>
      <c r="E58" s="1"/>
      <c r="F58" s="1"/>
      <c r="G58" s="1"/>
      <c r="H58" s="1"/>
      <c r="I58" s="1"/>
      <c r="J58" s="1"/>
      <c r="K58" s="1"/>
      <c r="L58" s="1"/>
      <c r="M58" s="1"/>
      <c r="N58" s="1"/>
      <c r="O58" s="1"/>
      <c r="P58" s="1"/>
    </row>
    <row r="59" spans="2:16" ht="15.75" customHeight="1" x14ac:dyDescent="0.2">
      <c r="B59" s="1"/>
      <c r="C59" s="1"/>
      <c r="D59" s="1"/>
      <c r="E59" s="1"/>
      <c r="F59" s="1"/>
      <c r="G59" s="1"/>
      <c r="H59" s="1"/>
      <c r="I59" s="1"/>
      <c r="J59" s="1"/>
      <c r="K59" s="1"/>
      <c r="L59" s="1"/>
      <c r="M59" s="1"/>
      <c r="N59" s="1"/>
      <c r="O59" s="1"/>
      <c r="P59" s="1"/>
    </row>
    <row r="60" spans="2:16" ht="15.75" customHeight="1" x14ac:dyDescent="0.2">
      <c r="B60" s="1"/>
      <c r="C60" s="1"/>
      <c r="D60" s="1"/>
      <c r="E60" s="1"/>
      <c r="F60" s="1"/>
      <c r="G60" s="1"/>
      <c r="H60" s="1"/>
      <c r="I60" s="1"/>
      <c r="J60" s="1"/>
      <c r="K60" s="1"/>
      <c r="L60" s="1"/>
      <c r="M60" s="1"/>
      <c r="N60" s="1"/>
      <c r="O60" s="1"/>
      <c r="P60" s="1"/>
    </row>
    <row r="61" spans="2:16" ht="15.75" customHeight="1" x14ac:dyDescent="0.2">
      <c r="B61" s="1"/>
      <c r="C61" s="1"/>
      <c r="D61" s="1"/>
      <c r="E61" s="1"/>
      <c r="F61" s="1"/>
      <c r="G61" s="1"/>
      <c r="H61" s="1"/>
      <c r="I61" s="1"/>
      <c r="J61" s="1"/>
      <c r="K61" s="1"/>
      <c r="L61" s="1"/>
      <c r="M61" s="1"/>
      <c r="N61" s="1"/>
      <c r="O61" s="1"/>
      <c r="P61" s="1"/>
    </row>
    <row r="62" spans="2:16" ht="15.75" customHeight="1" x14ac:dyDescent="0.2">
      <c r="B62" s="1"/>
      <c r="C62" s="1"/>
      <c r="D62" s="1"/>
      <c r="E62" s="1"/>
      <c r="F62" s="1"/>
      <c r="G62" s="1"/>
      <c r="H62" s="1"/>
      <c r="I62" s="1"/>
      <c r="J62" s="1"/>
      <c r="K62" s="1"/>
      <c r="L62" s="1"/>
      <c r="M62" s="1"/>
      <c r="N62" s="1"/>
      <c r="O62" s="1"/>
      <c r="P62" s="1"/>
    </row>
    <row r="63" spans="2:16" ht="15.75" customHeight="1" x14ac:dyDescent="0.2">
      <c r="B63" s="1"/>
      <c r="C63" s="1"/>
      <c r="D63" s="1"/>
      <c r="E63" s="1"/>
      <c r="F63" s="1"/>
      <c r="G63" s="1"/>
      <c r="H63" s="1"/>
      <c r="I63" s="1"/>
      <c r="J63" s="1"/>
      <c r="K63" s="1"/>
      <c r="L63" s="1"/>
      <c r="M63" s="1"/>
      <c r="N63" s="1"/>
      <c r="O63" s="1"/>
      <c r="P63" s="1"/>
    </row>
    <row r="64" spans="2:16" ht="15.75" customHeight="1" x14ac:dyDescent="0.2">
      <c r="B64" s="1"/>
      <c r="C64" s="1"/>
      <c r="D64" s="1"/>
      <c r="E64" s="1"/>
      <c r="F64" s="1"/>
      <c r="G64" s="1"/>
      <c r="H64" s="1"/>
      <c r="I64" s="1"/>
      <c r="J64" s="1"/>
      <c r="K64" s="1"/>
      <c r="L64" s="1"/>
      <c r="M64" s="1"/>
      <c r="N64" s="1"/>
      <c r="O64" s="1"/>
      <c r="P64" s="1"/>
    </row>
    <row r="65" spans="2:16" ht="15.75" customHeight="1" x14ac:dyDescent="0.2">
      <c r="B65" s="1"/>
      <c r="C65" s="1"/>
      <c r="D65" s="1"/>
      <c r="E65" s="1"/>
      <c r="F65" s="1"/>
      <c r="G65" s="1"/>
      <c r="H65" s="1"/>
      <c r="I65" s="1"/>
      <c r="J65" s="1"/>
      <c r="K65" s="1"/>
      <c r="L65" s="1"/>
      <c r="M65" s="1"/>
      <c r="N65" s="1"/>
      <c r="O65" s="1"/>
      <c r="P65" s="1"/>
    </row>
    <row r="66" spans="2:16" ht="15.75" customHeight="1" x14ac:dyDescent="0.2">
      <c r="B66" s="1"/>
      <c r="C66" s="1"/>
      <c r="D66" s="1"/>
      <c r="E66" s="1"/>
      <c r="F66" s="1"/>
      <c r="G66" s="1"/>
      <c r="H66" s="1"/>
      <c r="I66" s="1"/>
      <c r="J66" s="1"/>
      <c r="K66" s="1"/>
      <c r="L66" s="1"/>
      <c r="M66" s="1"/>
      <c r="N66" s="1"/>
      <c r="O66" s="1"/>
      <c r="P66" s="1"/>
    </row>
    <row r="67" spans="2:16" ht="15.75" customHeight="1" x14ac:dyDescent="0.2">
      <c r="B67" s="1"/>
      <c r="C67" s="1"/>
      <c r="D67" s="1"/>
      <c r="E67" s="1"/>
      <c r="F67" s="1"/>
      <c r="G67" s="1"/>
      <c r="H67" s="1"/>
      <c r="I67" s="1"/>
      <c r="J67" s="1"/>
      <c r="K67" s="1"/>
      <c r="L67" s="1"/>
      <c r="M67" s="1"/>
      <c r="N67" s="1"/>
      <c r="O67" s="1"/>
      <c r="P67" s="1"/>
    </row>
    <row r="68" spans="2:16" ht="15.75" customHeight="1" x14ac:dyDescent="0.2">
      <c r="B68" s="1"/>
      <c r="C68" s="1"/>
      <c r="D68" s="1"/>
      <c r="E68" s="1"/>
      <c r="F68" s="1"/>
      <c r="G68" s="1"/>
      <c r="H68" s="1"/>
      <c r="I68" s="1"/>
      <c r="J68" s="1"/>
      <c r="K68" s="1"/>
      <c r="L68" s="1"/>
      <c r="M68" s="1"/>
      <c r="N68" s="1"/>
      <c r="O68" s="1"/>
      <c r="P68" s="1"/>
    </row>
    <row r="69" spans="2:16" ht="15.75" customHeight="1" x14ac:dyDescent="0.2">
      <c r="B69" s="1"/>
      <c r="C69" s="1"/>
      <c r="D69" s="1"/>
      <c r="E69" s="1"/>
      <c r="F69" s="1"/>
      <c r="G69" s="1"/>
      <c r="H69" s="1"/>
      <c r="I69" s="1"/>
      <c r="J69" s="1"/>
      <c r="K69" s="1"/>
      <c r="L69" s="1"/>
      <c r="M69" s="1"/>
      <c r="N69" s="1"/>
      <c r="O69" s="1"/>
      <c r="P69" s="1"/>
    </row>
    <row r="70" spans="2:16" ht="15.75" customHeight="1" x14ac:dyDescent="0.2">
      <c r="B70" s="1"/>
      <c r="C70" s="1"/>
      <c r="D70" s="1"/>
      <c r="E70" s="1"/>
      <c r="F70" s="1"/>
      <c r="G70" s="1"/>
      <c r="H70" s="1"/>
      <c r="I70" s="1"/>
      <c r="J70" s="1"/>
      <c r="K70" s="1"/>
      <c r="L70" s="1"/>
      <c r="M70" s="1"/>
      <c r="N70" s="1"/>
      <c r="O70" s="1"/>
      <c r="P70" s="1"/>
    </row>
    <row r="71" spans="2:16" ht="15.75" customHeight="1" x14ac:dyDescent="0.2">
      <c r="B71" s="1"/>
      <c r="C71" s="1"/>
      <c r="D71" s="1"/>
      <c r="E71" s="1"/>
      <c r="F71" s="1"/>
      <c r="G71" s="1"/>
      <c r="H71" s="1"/>
      <c r="I71" s="1"/>
      <c r="J71" s="1"/>
      <c r="K71" s="1"/>
      <c r="L71" s="1"/>
      <c r="M71" s="1"/>
      <c r="N71" s="1"/>
      <c r="O71" s="1"/>
      <c r="P71" s="1"/>
    </row>
    <row r="72" spans="2:16" ht="15.75" customHeight="1" x14ac:dyDescent="0.2">
      <c r="B72" s="1"/>
      <c r="C72" s="1"/>
      <c r="D72" s="1"/>
      <c r="E72" s="1"/>
      <c r="F72" s="1"/>
      <c r="G72" s="1"/>
      <c r="H72" s="1"/>
      <c r="I72" s="1"/>
      <c r="J72" s="1"/>
      <c r="K72" s="1"/>
      <c r="L72" s="1"/>
      <c r="M72" s="1"/>
      <c r="N72" s="1"/>
      <c r="O72" s="1"/>
      <c r="P72" s="1"/>
    </row>
    <row r="73" spans="2:16" ht="15.75" customHeight="1" x14ac:dyDescent="0.2">
      <c r="B73" s="1"/>
      <c r="C73" s="1"/>
      <c r="D73" s="1"/>
      <c r="E73" s="1"/>
      <c r="F73" s="1"/>
      <c r="G73" s="1"/>
      <c r="H73" s="1"/>
      <c r="I73" s="1"/>
      <c r="J73" s="1"/>
      <c r="K73" s="1"/>
      <c r="L73" s="1"/>
      <c r="M73" s="1"/>
      <c r="N73" s="1"/>
      <c r="O73" s="1"/>
      <c r="P73" s="1"/>
    </row>
    <row r="74" spans="2:16" ht="15.75" customHeight="1" x14ac:dyDescent="0.2">
      <c r="B74" s="1"/>
      <c r="C74" s="1"/>
      <c r="D74" s="1"/>
      <c r="E74" s="1"/>
      <c r="F74" s="1"/>
      <c r="G74" s="1"/>
      <c r="H74" s="1"/>
      <c r="I74" s="1"/>
      <c r="J74" s="1"/>
      <c r="K74" s="1"/>
      <c r="L74" s="1"/>
      <c r="M74" s="1"/>
      <c r="N74" s="1"/>
      <c r="O74" s="1"/>
      <c r="P74" s="1"/>
    </row>
    <row r="75" spans="2:16" ht="15.75" customHeight="1" x14ac:dyDescent="0.2">
      <c r="B75" s="1"/>
      <c r="C75" s="1"/>
      <c r="D75" s="1"/>
      <c r="E75" s="1"/>
      <c r="F75" s="1"/>
      <c r="G75" s="1"/>
      <c r="H75" s="1"/>
      <c r="I75" s="1"/>
      <c r="J75" s="1"/>
      <c r="K75" s="1"/>
      <c r="L75" s="1"/>
      <c r="M75" s="1"/>
      <c r="N75" s="1"/>
      <c r="O75" s="1"/>
      <c r="P75" s="1"/>
    </row>
    <row r="76" spans="2:16" ht="15.75" customHeight="1" x14ac:dyDescent="0.2">
      <c r="B76" s="1"/>
      <c r="C76" s="1"/>
      <c r="D76" s="1"/>
      <c r="E76" s="1"/>
      <c r="F76" s="1"/>
      <c r="G76" s="1"/>
      <c r="H76" s="1"/>
      <c r="I76" s="1"/>
      <c r="J76" s="1"/>
      <c r="K76" s="1"/>
      <c r="L76" s="1"/>
      <c r="M76" s="1"/>
      <c r="N76" s="1"/>
      <c r="O76" s="1"/>
      <c r="P76" s="1"/>
    </row>
    <row r="77" spans="2:16" ht="15.75" customHeight="1" x14ac:dyDescent="0.2">
      <c r="B77" s="1"/>
      <c r="C77" s="1"/>
      <c r="D77" s="1"/>
      <c r="E77" s="1"/>
      <c r="F77" s="1"/>
      <c r="G77" s="1"/>
      <c r="H77" s="1"/>
      <c r="I77" s="1"/>
      <c r="J77" s="1"/>
      <c r="K77" s="1"/>
      <c r="L77" s="1"/>
      <c r="M77" s="1"/>
      <c r="N77" s="1"/>
      <c r="O77" s="1"/>
      <c r="P77" s="1"/>
    </row>
    <row r="78" spans="2:16" ht="15.75" customHeight="1" x14ac:dyDescent="0.2">
      <c r="B78" s="1"/>
      <c r="C78" s="1"/>
      <c r="D78" s="1"/>
      <c r="E78" s="1"/>
      <c r="F78" s="1"/>
      <c r="G78" s="1"/>
      <c r="H78" s="1"/>
      <c r="I78" s="1"/>
      <c r="J78" s="1"/>
      <c r="K78" s="1"/>
      <c r="L78" s="1"/>
      <c r="M78" s="1"/>
      <c r="N78" s="1"/>
      <c r="O78" s="1"/>
      <c r="P78" s="1"/>
    </row>
    <row r="79" spans="2:16" ht="15.75" customHeight="1" x14ac:dyDescent="0.2">
      <c r="B79" s="1"/>
      <c r="C79" s="1"/>
      <c r="D79" s="1"/>
      <c r="E79" s="1"/>
      <c r="F79" s="1"/>
      <c r="G79" s="1"/>
      <c r="H79" s="1"/>
      <c r="I79" s="1"/>
      <c r="J79" s="1"/>
      <c r="K79" s="1"/>
      <c r="L79" s="1"/>
      <c r="M79" s="1"/>
      <c r="N79" s="1"/>
      <c r="O79" s="1"/>
      <c r="P79" s="1"/>
    </row>
    <row r="80" spans="2:16" ht="16.5" customHeight="1" x14ac:dyDescent="0.2">
      <c r="B80" s="1"/>
      <c r="C80" s="1"/>
      <c r="D80" s="1"/>
      <c r="E80" s="1"/>
      <c r="F80" s="1"/>
      <c r="G80" s="1"/>
      <c r="H80" s="1"/>
      <c r="I80" s="1"/>
      <c r="J80" s="1"/>
      <c r="K80" s="1"/>
      <c r="L80" s="1"/>
      <c r="M80" s="1"/>
      <c r="N80" s="1"/>
      <c r="O80" s="1"/>
      <c r="P80" s="1"/>
    </row>
    <row r="81" ht="15.75" customHeight="1" x14ac:dyDescent="0.2"/>
    <row r="82" ht="15.75" customHeight="1" x14ac:dyDescent="0.2"/>
    <row r="83" ht="15" hidden="1"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 hidden="1" customHeight="1" x14ac:dyDescent="0.2"/>
    <row r="92" ht="15" hidden="1" customHeight="1" x14ac:dyDescent="0.2"/>
    <row r="93" ht="15" hidden="1" customHeight="1" x14ac:dyDescent="0.2"/>
    <row r="94" ht="15" hidden="1" customHeight="1" x14ac:dyDescent="0.2"/>
    <row r="95" ht="15" hidden="1" customHeight="1" x14ac:dyDescent="0.2"/>
    <row r="96" ht="15" hidden="1" customHeight="1" x14ac:dyDescent="0.2"/>
    <row r="97" ht="15" hidden="1" customHeight="1" x14ac:dyDescent="0.2"/>
    <row r="98" ht="15" hidden="1" customHeight="1" x14ac:dyDescent="0.2"/>
    <row r="99" ht="15" customHeight="1" x14ac:dyDescent="0.2"/>
    <row r="100" ht="15" customHeight="1" x14ac:dyDescent="0.2"/>
    <row r="101" ht="15" hidden="1" customHeight="1" x14ac:dyDescent="0.2"/>
    <row r="102" ht="15.75" customHeight="1" x14ac:dyDescent="0.2"/>
    <row r="103" ht="15.75" customHeight="1" x14ac:dyDescent="0.2"/>
    <row r="104" ht="15.75" customHeight="1" x14ac:dyDescent="0.2"/>
    <row r="105" ht="15" hidden="1" customHeight="1" x14ac:dyDescent="0.2"/>
    <row r="106" ht="15" hidden="1" customHeight="1" x14ac:dyDescent="0.2"/>
    <row r="107" ht="15" hidden="1" customHeight="1" x14ac:dyDescent="0.2"/>
    <row r="108" ht="15.75" customHeight="1" x14ac:dyDescent="0.2"/>
    <row r="109" ht="15" customHeight="1" x14ac:dyDescent="0.2"/>
    <row r="110" ht="15" customHeight="1" x14ac:dyDescent="0.2"/>
    <row r="111" ht="15" hidden="1" customHeight="1" x14ac:dyDescent="0.2"/>
    <row r="112" ht="15" hidden="1" customHeight="1" x14ac:dyDescent="0.2"/>
    <row r="113" ht="15" hidden="1" customHeight="1" x14ac:dyDescent="0.2"/>
    <row r="114" ht="15" hidden="1" customHeight="1" x14ac:dyDescent="0.2"/>
    <row r="115" ht="15" hidden="1" customHeight="1" x14ac:dyDescent="0.2"/>
    <row r="116" ht="15" hidden="1" customHeight="1" x14ac:dyDescent="0.2"/>
  </sheetData>
  <mergeCells count="5">
    <mergeCell ref="B15:Q15"/>
    <mergeCell ref="S16:AA41"/>
    <mergeCell ref="B20:Q20"/>
    <mergeCell ref="B25:Q25"/>
    <mergeCell ref="B50:P80"/>
  </mergeCells>
  <pageMargins left="0.25" right="0.25" top="0.75" bottom="0.75" header="0.511811023622047" footer="0.511811023622047"/>
  <pageSetup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Multi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Gratify</dc:creator>
  <dc:description/>
  <cp:lastModifiedBy>Ryan Brough</cp:lastModifiedBy>
  <cp:revision>0</cp:revision>
  <cp:lastPrinted>2026-05-15T20:51:46Z</cp:lastPrinted>
  <dcterms:created xsi:type="dcterms:W3CDTF">2019-03-12T11:42:18Z</dcterms:created>
  <dcterms:modified xsi:type="dcterms:W3CDTF">2026-05-28T12:54:48Z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0x0101009FB2AB51AEF5D749AD2D4906A327C3E2</vt:lpwstr>
  </property>
  <property fmtid="{D5CDD505-2E9C-101B-9397-08002B2CF9AE}" pid="3" name="MediaServiceImageTags">
    <vt:lpwstr/>
  </property>
</Properties>
</file>