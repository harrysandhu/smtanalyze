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mmm d, yyyy"/>
    <numFmt numFmtId="166" formatCode="&quot;$&quot;#,##0.00"/>
    <numFmt numFmtId="167" formatCode="0.0000%"/>
  </numFmts>
  <fonts count="8">
    <font>
      <name val="Calibri"/>
      <family val="2"/>
      <color theme="1"/>
      <sz val="11"/>
      <scheme val="minor"/>
    </font>
    <font>
      <name val="Arial"/>
      <b val="1"/>
      <color rgb="001A568E"/>
      <sz val="22"/>
    </font>
    <font>
      <name val="Arial"/>
      <color rgb="001A568E"/>
      <sz val="10"/>
    </font>
    <font>
      <name val="Arial"/>
      <color rgb="00404040"/>
      <sz val="9"/>
    </font>
    <font>
      <name val="Arial"/>
      <b val="1"/>
      <sz val="9"/>
    </font>
    <font>
      <name val="Arial"/>
      <sz val="9"/>
    </font>
    <font>
      <name val="Arial"/>
      <b val="1"/>
      <color rgb="00FFFFFF"/>
      <sz val="9"/>
    </font>
    <font>
      <name val="Arial"/>
      <color rgb="00404040"/>
      <sz val="8"/>
    </font>
  </fonts>
  <fills count="7">
    <fill>
      <patternFill/>
    </fill>
    <fill>
      <patternFill patternType="gray125"/>
    </fill>
    <fill>
      <patternFill patternType="solid">
        <fgColor rgb="001A568E"/>
      </patternFill>
    </fill>
    <fill>
      <patternFill patternType="solid">
        <fgColor rgb="00FFF2CC"/>
      </patternFill>
    </fill>
    <fill>
      <patternFill patternType="solid">
        <fgColor rgb="00E2EFDA"/>
      </patternFill>
    </fill>
    <fill>
      <patternFill patternType="solid">
        <fgColor rgb="00D6E4F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165" fontId="5" fillId="0" borderId="0" pivotButton="0" quotePrefix="0" xfId="0"/>
    <xf numFmtId="0" fontId="6" fillId="2" borderId="0" pivotButton="0" quotePrefix="0" xfId="0"/>
    <xf numFmtId="10" fontId="4" fillId="3" borderId="1" pivotButton="0" quotePrefix="0" xfId="0"/>
    <xf numFmtId="0" fontId="6" fillId="2" borderId="0" applyAlignment="1" pivotButton="0" quotePrefix="0" xfId="0">
      <alignment horizontal="center"/>
    </xf>
    <xf numFmtId="10" fontId="4" fillId="4" borderId="0" pivotButton="0" quotePrefix="0" xfId="0"/>
    <xf numFmtId="166" fontId="4" fillId="4" borderId="0" pivotButton="0" quotePrefix="0" xfId="0"/>
    <xf numFmtId="167" fontId="4" fillId="5" borderId="0" pivotButton="0" quotePrefix="0" xfId="0"/>
    <xf numFmtId="0" fontId="3" fillId="0" borderId="1" pivotButton="0" quotePrefix="0" xfId="0"/>
    <xf numFmtId="167" fontId="5" fillId="0" borderId="1" pivotButton="0" quotePrefix="0" xfId="0"/>
    <xf numFmtId="167" fontId="5" fillId="6" borderId="1" pivotButton="0" quotePrefix="0" xfId="0"/>
    <xf numFmtId="167" fontId="4" fillId="3" borderId="1" pivotButton="0" quotePrefix="0" xfId="0"/>
    <xf numFmtId="166" fontId="5" fillId="0" borderId="1" pivotButton="0" quotePrefix="0" xfId="0"/>
    <xf numFmtId="166" fontId="5" fillId="6" borderId="1" pivotButton="0" quotePrefix="0" xfId="0"/>
    <xf numFmtId="3" fontId="5" fillId="0" borderId="1" pivotButton="0" quotePrefix="0" xfId="0"/>
    <xf numFmtId="0" fontId="4" fillId="6" borderId="1" pivotButton="0" quotePrefix="0" xfId="0"/>
    <xf numFmtId="166" fontId="4" fillId="6" borderId="1" pivotButton="0" quotePrefix="0" xfId="0"/>
    <xf numFmtId="166" fontId="4" fillId="4" borderId="1" pivotButton="0" quotePrefix="0" xfId="0"/>
    <xf numFmtId="10" fontId="5" fillId="0" borderId="1"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71"/>
  <sheetViews>
    <sheetView showGridLines="0" workbookViewId="0">
      <selection activeCell="A1" sqref="A1"/>
    </sheetView>
  </sheetViews>
  <sheetFormatPr baseColWidth="8" defaultRowHeight="15"/>
  <cols>
    <col width="2.5" customWidth="1" min="1" max="1"/>
    <col width="30" customWidth="1" min="2" max="2"/>
    <col width="2.5" customWidth="1" min="3" max="3"/>
    <col width="16" customWidth="1" min="4" max="4"/>
    <col width="2.5" customWidth="1" min="5" max="5"/>
    <col width="16" customWidth="1" min="6" max="6"/>
    <col width="2.5" customWidth="1" min="7" max="7"/>
  </cols>
  <sheetData>
    <row r="2">
      <c r="B2" s="1" t="inlineStr">
        <is>
          <t>GRATIFY</t>
        </is>
      </c>
    </row>
    <row r="3">
      <c r="B3" s="2" t="inlineStr">
        <is>
          <t>Merchant Rate Review &amp; Interchange-Plus Proposal</t>
        </is>
      </c>
    </row>
    <row r="5">
      <c r="B5" s="3" t="inlineStr">
        <is>
          <t>Comparison For:</t>
        </is>
      </c>
      <c r="D5" s="4" t="inlineStr">
        <is>
          <t>CITY OF PBG SANDHILL 2</t>
        </is>
      </c>
    </row>
    <row r="6">
      <c r="B6" s="3" t="inlineStr">
        <is>
          <t>Processor (current):</t>
        </is>
      </c>
      <c r="D6" s="5" t="inlineStr">
        <is>
          <t>Fiserv (CardPointe)</t>
        </is>
      </c>
    </row>
    <row r="7">
      <c r="B7" s="3" t="inlineStr">
        <is>
          <t>Merchant ID:</t>
        </is>
      </c>
      <c r="D7" s="5" t="inlineStr">
        <is>
          <t>496372494880</t>
        </is>
      </c>
    </row>
    <row r="8">
      <c r="B8" s="3" t="inlineStr">
        <is>
          <t>Statement Period:</t>
        </is>
      </c>
      <c r="D8" s="5" t="inlineStr">
        <is>
          <t>01/01/26 - 01/31/26</t>
        </is>
      </c>
    </row>
    <row r="9">
      <c r="B9" s="3" t="inlineStr">
        <is>
          <t>Prepared By:</t>
        </is>
      </c>
      <c r="D9" s="5" t="inlineStr">
        <is>
          <t>Harry Sandhu</t>
        </is>
      </c>
    </row>
    <row r="10">
      <c r="B10" s="3" t="inlineStr">
        <is>
          <t>Contact Email:</t>
        </is>
      </c>
      <c r="D10" s="5" t="inlineStr">
        <is>
          <t>hrrsandhu6@gmail.com</t>
        </is>
      </c>
    </row>
    <row r="11">
      <c r="B11" s="3" t="inlineStr">
        <is>
          <t>Date:</t>
        </is>
      </c>
      <c r="D11" s="6" t="n">
        <v>46190</v>
      </c>
    </row>
    <row r="13">
      <c r="B13" s="7" t="inlineStr">
        <is>
          <t>Quote Settings</t>
        </is>
      </c>
      <c r="D13" s="7" t="inlineStr"/>
    </row>
    <row r="14">
      <c r="B14" s="3" t="inlineStr">
        <is>
          <t>Target Savings (editable)</t>
        </is>
      </c>
      <c r="D14" s="8" t="n">
        <v>0.15</v>
      </c>
    </row>
    <row r="16">
      <c r="B16" s="7" t="inlineStr">
        <is>
          <t>Estimated Savings</t>
        </is>
      </c>
      <c r="D16" s="9" t="inlineStr">
        <is>
          <t>Interchange Plus</t>
        </is>
      </c>
    </row>
    <row r="17">
      <c r="B17" s="3" t="inlineStr">
        <is>
          <t>% Savings (per month)</t>
        </is>
      </c>
      <c r="D17" s="10">
        <f>1-($F$39/$D$39)</f>
        <v/>
      </c>
    </row>
    <row r="18">
      <c r="B18" s="3" t="inlineStr">
        <is>
          <t>Monthly Savings</t>
        </is>
      </c>
      <c r="D18" s="11">
        <f>$D$39-$F$39</f>
        <v/>
      </c>
    </row>
    <row r="19">
      <c r="B19" s="3" t="inlineStr">
        <is>
          <t>Annual Savings</t>
        </is>
      </c>
      <c r="D19" s="11">
        <f>D18*12</f>
        <v/>
      </c>
    </row>
    <row r="20">
      <c r="B20" s="3" t="inlineStr">
        <is>
          <t>3-Year Savings</t>
        </is>
      </c>
      <c r="D20" s="11">
        <f>D19*3</f>
        <v/>
      </c>
    </row>
    <row r="22">
      <c r="B22" s="7" t="inlineStr">
        <is>
          <t>Rate Comparison</t>
        </is>
      </c>
      <c r="D22" s="9" t="inlineStr">
        <is>
          <t>Fiserv (CardPointe)</t>
        </is>
      </c>
      <c r="F22" s="9" t="inlineStr">
        <is>
          <t>Proposed</t>
        </is>
      </c>
    </row>
    <row r="23">
      <c r="B23" s="4" t="inlineStr">
        <is>
          <t>Effective Processing Rate</t>
        </is>
      </c>
      <c r="D23" s="12">
        <f>$D$39/$D$36</f>
        <v/>
      </c>
      <c r="F23" s="12">
        <f>$F$39/$F$36</f>
        <v/>
      </c>
    </row>
    <row r="25">
      <c r="B25" s="7" t="inlineStr">
        <is>
          <t>Statement Analysis</t>
        </is>
      </c>
      <c r="D25" s="9" t="inlineStr">
        <is>
          <t>Fiserv (CardPointe)</t>
        </is>
      </c>
      <c r="F25" s="9" t="inlineStr">
        <is>
          <t>Proposed</t>
        </is>
      </c>
    </row>
    <row r="27">
      <c r="B27" s="13" t="inlineStr">
        <is>
          <t>Interchange (passthrough)</t>
        </is>
      </c>
      <c r="D27" s="14" t="n">
        <v>0.01693323008480419</v>
      </c>
      <c r="F27" s="15">
        <f>D27</f>
        <v/>
      </c>
    </row>
    <row r="28">
      <c r="B28" s="13" t="inlineStr">
        <is>
          <t>Processor Markup / Discount Rate</t>
        </is>
      </c>
      <c r="D28" s="14" t="n">
        <v>0.009040256926058499</v>
      </c>
      <c r="F28" s="16">
        <f>($D$39*(1-$D$14)-F27*$F$36-F29*$F$36-F31*$F$37-F33)/$F$36</f>
        <v/>
      </c>
    </row>
    <row r="29">
      <c r="B29" s="13" t="inlineStr">
        <is>
          <t>Card Brand &amp; Assessment Fees (passthrough)</t>
        </is>
      </c>
      <c r="D29" s="14" t="n">
        <v>0.001695421507317709</v>
      </c>
      <c r="F29" s="15">
        <f>D29</f>
        <v/>
      </c>
    </row>
    <row r="31">
      <c r="B31" s="13" t="inlineStr">
        <is>
          <t>Per-Transaction Fee</t>
        </is>
      </c>
      <c r="D31" s="17" t="n">
        <v>0</v>
      </c>
      <c r="F31" s="18" t="n">
        <v>0</v>
      </c>
    </row>
    <row r="33">
      <c r="B33" s="13" t="inlineStr">
        <is>
          <t>Monthly &amp; Account Fees (fixed)</t>
        </is>
      </c>
      <c r="D33" s="17" t="n">
        <v>286.72</v>
      </c>
      <c r="F33" s="18">
        <f>D33</f>
        <v/>
      </c>
    </row>
    <row r="35">
      <c r="B35" s="13" t="inlineStr">
        <is>
          <t>Average Ticket</t>
        </is>
      </c>
      <c r="D35" s="17">
        <f>$D$36/$D$37</f>
        <v/>
      </c>
      <c r="F35" s="17">
        <f>D35</f>
        <v/>
      </c>
    </row>
    <row r="36">
      <c r="B36" s="13" t="inlineStr">
        <is>
          <t>Monthly Volume</t>
        </is>
      </c>
      <c r="D36" s="17" t="n">
        <v>446986.19</v>
      </c>
      <c r="F36" s="17">
        <f>D36</f>
        <v/>
      </c>
    </row>
    <row r="37">
      <c r="B37" s="13" t="inlineStr">
        <is>
          <t>Transaction Count</t>
        </is>
      </c>
      <c r="D37" s="19" t="n">
        <v>3447</v>
      </c>
      <c r="F37" s="19">
        <f>D37</f>
        <v/>
      </c>
    </row>
    <row r="39">
      <c r="B39" s="20" t="inlineStr">
        <is>
          <t>Total Monthly Fees</t>
        </is>
      </c>
      <c r="D39" s="21">
        <f>D27*$D$36+D28*$D$36+D31*$D$37+D29*$D$36+D33</f>
        <v/>
      </c>
      <c r="F39" s="22">
        <f>F27*$F$36+F28*$F$36+F31*$F$37+F29*$F$36+F33</f>
        <v/>
      </c>
    </row>
    <row r="42">
      <c r="B42" s="7" t="inlineStr">
        <is>
          <t>Card Mix</t>
        </is>
      </c>
      <c r="D42" s="9" t="inlineStr">
        <is>
          <t>Volume</t>
        </is>
      </c>
      <c r="F42" s="9" t="inlineStr">
        <is>
          <t>% of Volume</t>
        </is>
      </c>
    </row>
    <row r="43">
      <c r="B43" s="13" t="inlineStr">
        <is>
          <t>Mastercard</t>
        </is>
      </c>
      <c r="D43" s="17" t="n">
        <v>110423.31</v>
      </c>
      <c r="F43" s="23">
        <f>D43/$D$36</f>
        <v/>
      </c>
    </row>
    <row r="44">
      <c r="B44" s="13" t="inlineStr">
        <is>
          <t>VISA</t>
        </is>
      </c>
      <c r="D44" s="17" t="n">
        <v>212783.84</v>
      </c>
      <c r="F44" s="23">
        <f>D44/$D$36</f>
        <v/>
      </c>
    </row>
    <row r="45">
      <c r="B45" s="13" t="inlineStr">
        <is>
          <t>Discover</t>
        </is>
      </c>
      <c r="D45" s="17" t="n">
        <v>6040.37</v>
      </c>
      <c r="F45" s="23">
        <f>D45/$D$36</f>
        <v/>
      </c>
    </row>
    <row r="46">
      <c r="B46" s="13" t="inlineStr">
        <is>
          <t>AMEX ACQ</t>
        </is>
      </c>
      <c r="D46" s="17" t="n">
        <v>117738.67</v>
      </c>
      <c r="F46" s="23">
        <f>D46/$D$36</f>
        <v/>
      </c>
    </row>
    <row r="48">
      <c r="B48" s="4" t="inlineStr">
        <is>
          <t>Processing Notes</t>
        </is>
      </c>
    </row>
    <row r="49">
      <c r="B49" s="24" t="inlineStr">
        <is>
          <t>Merchant: CITY OF PBG SANDHILL 2 (MID 496372494880)
Current processor: Fiserv (CardPointe)
Statement period: 01/01/26 - 01/31/26
Pricing model: Interchange Plus.
Current effective rate: 2.83% on $446,986.19 across 3,447 transactions.
Of total fees, interchange + assessments ($8,326.75) are passthrough and unchanged; the proposed savings come entirely from reducing the processor markup of $4,040.87.
Extraction integrity: 16/16 reconciliation checks passed (VERIFIED).</t>
        </is>
      </c>
    </row>
    <row r="50"/>
    <row r="51"/>
    <row r="52"/>
    <row r="53"/>
    <row r="54"/>
    <row r="55"/>
    <row r="56"/>
    <row r="57"/>
    <row r="59">
      <c r="B59" s="4" t="inlineStr">
        <is>
          <t>Risk Flags</t>
        </is>
      </c>
    </row>
    <row r="60">
      <c r="B60" s="24" t="inlineStr">
        <is>
          <t xml:space="preserve">  - [Info] Dispute/chargeback fees detected in fee detail
  - [Info] International/cross-border fees detected</t>
        </is>
      </c>
    </row>
    <row r="61"/>
    <row r="62"/>
    <row r="63"/>
    <row r="65">
      <c r="B65" s="4" t="inlineStr">
        <is>
          <t>Terms</t>
        </is>
      </c>
    </row>
    <row r="66">
      <c r="B66" s="24" t="inlineStr">
        <is>
          <t>This Interchange-Plus proposal passes through Visa, Mastercard, Discover and Amex interchange and assessments at cost, with a transparent processor markup. Interchange and assessment figures are taken directly from the merchant's own statement and are not marked up.
Quote valid for 30 days from the date above. Rates assume processing profile consistent with the analyzed statement. Final pricing subject to underwriting approval. Savings are estimates based on the statement provided.</t>
        </is>
      </c>
    </row>
    <row r="67"/>
    <row r="68"/>
    <row r="69"/>
    <row r="70"/>
    <row r="71"/>
  </sheetData>
  <mergeCells count="3">
    <mergeCell ref="B60:F63"/>
    <mergeCell ref="B66:F71"/>
    <mergeCell ref="B49:F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2026-06-17T01:26:19Z</dcterms:created>
  <dcterms:modified xsi:type="dcterms:W3CDTF">2026-06-17T01:26:19Z</dcterms:modified>
</cp:coreProperties>
</file>